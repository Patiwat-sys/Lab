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00 Program\htdocs\Lab-master\"/>
    </mc:Choice>
  </mc:AlternateContent>
  <xr:revisionPtr revIDLastSave="0" documentId="13_ncr:1_{5CAD29F4-4E34-4E7C-8306-F3D608406C46}" xr6:coauthVersionLast="47" xr6:coauthVersionMax="47" xr10:uidLastSave="{00000000-0000-0000-0000-000000000000}"/>
  <bookViews>
    <workbookView xWindow="57480" yWindow="-120" windowWidth="29040" windowHeight="15225" tabRatio="516" firstSheet="2" activeTab="6" xr2:uid="{00000000-000D-0000-FFFF-FFFF00000000}"/>
  </bookViews>
  <sheets>
    <sheet name="Jan" sheetId="30" r:id="rId1"/>
    <sheet name="Fed" sheetId="31" r:id="rId2"/>
    <sheet name="Mar" sheetId="33" r:id="rId3"/>
    <sheet name="Apr" sheetId="36" r:id="rId4"/>
    <sheet name="May" sheetId="37" r:id="rId5"/>
    <sheet name="TOTAL (A)" sheetId="34" r:id="rId6"/>
    <sheet name="Dashboard(A)" sheetId="35" r:id="rId7"/>
  </sheets>
  <definedNames>
    <definedName name="_xlnm._FilterDatabase" localSheetId="3" hidden="1">Apr!$A$1:$AK$12</definedName>
    <definedName name="_xlnm._FilterDatabase" localSheetId="1" hidden="1">Fed!$A$1:$AK$12</definedName>
    <definedName name="_xlnm._FilterDatabase" localSheetId="0" hidden="1">Jan!$A$1:$AK$12</definedName>
    <definedName name="_xlnm._FilterDatabase" localSheetId="2" hidden="1">Mar!$A$1:$AK$12</definedName>
    <definedName name="_xlnm._FilterDatabase" localSheetId="4" hidden="1">May!$A$1:$AK$12</definedName>
    <definedName name="_xlnm._FilterDatabase" localSheetId="5" hidden="1">'TOTAL (A)'!$A$1:$Q$9</definedName>
    <definedName name="_xlnm.Print_Area" localSheetId="6">'Dashboard(A)'!$A$1:$Q$50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35" l="1"/>
  <c r="D5" i="35" s="1"/>
  <c r="AK9" i="36"/>
  <c r="AK11" i="36"/>
  <c r="AJ7" i="37"/>
  <c r="AJ10" i="37"/>
  <c r="AJ9" i="37"/>
  <c r="I7" i="35"/>
  <c r="K7" i="35"/>
  <c r="F7" i="35" s="1"/>
  <c r="I5" i="35"/>
  <c r="O7" i="34"/>
  <c r="AK3" i="33"/>
  <c r="Q3" i="34"/>
  <c r="D14" i="34"/>
  <c r="E14" i="34"/>
  <c r="F14" i="34"/>
  <c r="H14" i="34"/>
  <c r="I14" i="34"/>
  <c r="J14" i="34"/>
  <c r="K14" i="34"/>
  <c r="L14" i="34"/>
  <c r="M14" i="34"/>
  <c r="N14" i="34"/>
  <c r="C14" i="34"/>
  <c r="D13" i="34"/>
  <c r="E13" i="34"/>
  <c r="F13" i="34"/>
  <c r="H13" i="34"/>
  <c r="I13" i="34"/>
  <c r="J13" i="34"/>
  <c r="K13" i="34"/>
  <c r="L13" i="34"/>
  <c r="M13" i="34"/>
  <c r="N13" i="34"/>
  <c r="C13" i="34"/>
  <c r="AJ12" i="37"/>
  <c r="AJ11" i="37"/>
  <c r="AK11" i="37"/>
  <c r="AK9" i="37"/>
  <c r="AJ8" i="37"/>
  <c r="G7" i="34" s="1"/>
  <c r="G14" i="34" s="1"/>
  <c r="AN7" i="37"/>
  <c r="AK7" i="37"/>
  <c r="P7" i="34" s="1"/>
  <c r="K5" i="35" s="1"/>
  <c r="AJ6" i="37"/>
  <c r="G5" i="34" s="1"/>
  <c r="AJ5" i="37"/>
  <c r="G4" i="34" s="1"/>
  <c r="AJ4" i="37"/>
  <c r="G3" i="34" s="1"/>
  <c r="AJ3" i="37"/>
  <c r="AK3" i="37" s="1"/>
  <c r="P6" i="34" s="1"/>
  <c r="P8" i="34" l="1"/>
  <c r="F7" i="34"/>
  <c r="F5" i="34"/>
  <c r="F3" i="34"/>
  <c r="AJ12" i="36"/>
  <c r="AJ11" i="36"/>
  <c r="AJ10" i="36"/>
  <c r="AJ9" i="36"/>
  <c r="AJ8" i="36"/>
  <c r="AN7" i="36"/>
  <c r="AJ7" i="36"/>
  <c r="AK7" i="36" s="1"/>
  <c r="AJ6" i="36"/>
  <c r="AJ5" i="36"/>
  <c r="F4" i="34" s="1"/>
  <c r="AJ4" i="36"/>
  <c r="AJ3" i="36"/>
  <c r="AK3" i="36" s="1"/>
  <c r="O5" i="35" l="1"/>
  <c r="E9" i="34" l="1"/>
  <c r="E8" i="34"/>
  <c r="D9" i="34"/>
  <c r="O9" i="34" s="1"/>
  <c r="D8" i="34"/>
  <c r="E7" i="34"/>
  <c r="E28" i="34" s="1"/>
  <c r="D7" i="34"/>
  <c r="Q7" i="34" s="1"/>
  <c r="C9" i="34"/>
  <c r="C8" i="34"/>
  <c r="C7" i="34"/>
  <c r="E4" i="34"/>
  <c r="E5" i="34"/>
  <c r="E3" i="34"/>
  <c r="D4" i="34"/>
  <c r="D5" i="34"/>
  <c r="D3" i="34"/>
  <c r="G6" i="34"/>
  <c r="G13" i="34" s="1"/>
  <c r="M6" i="34"/>
  <c r="N6" i="34"/>
  <c r="E6" i="34"/>
  <c r="Q5" i="34"/>
  <c r="F6" i="34"/>
  <c r="Q6" i="34" s="1"/>
  <c r="C4" i="34"/>
  <c r="C5" i="34"/>
  <c r="C3" i="34"/>
  <c r="K36" i="34"/>
  <c r="K35" i="34"/>
  <c r="K34" i="34"/>
  <c r="K37" i="34" s="1"/>
  <c r="Q37" i="34" s="1"/>
  <c r="K33" i="34"/>
  <c r="I30" i="34"/>
  <c r="M28" i="34"/>
  <c r="K28" i="34"/>
  <c r="I28" i="34"/>
  <c r="G28" i="34"/>
  <c r="L23" i="34"/>
  <c r="L30" i="34" s="1"/>
  <c r="I23" i="34"/>
  <c r="F23" i="34"/>
  <c r="F30" i="34" s="1"/>
  <c r="L22" i="34"/>
  <c r="L29" i="34" s="1"/>
  <c r="I22" i="34"/>
  <c r="I29" i="34" s="1"/>
  <c r="F22" i="34"/>
  <c r="F29" i="34" s="1"/>
  <c r="L21" i="34"/>
  <c r="I21" i="34"/>
  <c r="F21" i="34"/>
  <c r="Q16" i="34"/>
  <c r="O16" i="34"/>
  <c r="Q15" i="34"/>
  <c r="O15" i="34"/>
  <c r="Q14" i="34"/>
  <c r="O14" i="34"/>
  <c r="T7" i="34"/>
  <c r="L6" i="34"/>
  <c r="K6" i="34"/>
  <c r="K27" i="34" s="1"/>
  <c r="Z27" i="34" s="1"/>
  <c r="J6" i="34"/>
  <c r="I6" i="34"/>
  <c r="I27" i="34" s="1"/>
  <c r="Y27" i="34" s="1"/>
  <c r="H6" i="34"/>
  <c r="C6" i="34"/>
  <c r="T3" i="34"/>
  <c r="O13" i="34" l="1"/>
  <c r="Q13" i="34"/>
  <c r="D6" i="34"/>
  <c r="O3" i="34"/>
  <c r="Q4" i="34"/>
  <c r="F20" i="34"/>
  <c r="W20" i="34" s="1"/>
  <c r="C23" i="34"/>
  <c r="C22" i="34"/>
  <c r="C28" i="34"/>
  <c r="O23" i="34"/>
  <c r="Q9" i="34"/>
  <c r="O8" i="34"/>
  <c r="Q8" i="34"/>
  <c r="C21" i="34"/>
  <c r="G27" i="34"/>
  <c r="X27" i="34" s="1"/>
  <c r="M27" i="34"/>
  <c r="AA27" i="34" s="1"/>
  <c r="L20" i="34"/>
  <c r="Y20" i="34" s="1"/>
  <c r="E27" i="34"/>
  <c r="W27" i="34" s="1"/>
  <c r="O5" i="34"/>
  <c r="C20" i="34"/>
  <c r="I20" i="34"/>
  <c r="X20" i="34" s="1"/>
  <c r="O4" i="34"/>
  <c r="C30" i="34"/>
  <c r="O30" i="34" s="1"/>
  <c r="O6" i="34"/>
  <c r="C27" i="34"/>
  <c r="O22" i="34" l="1"/>
  <c r="C29" i="34"/>
  <c r="O29" i="34" s="1"/>
  <c r="V20" i="34"/>
  <c r="O20" i="34"/>
  <c r="O27" i="34"/>
  <c r="V27" i="34"/>
  <c r="AF20" i="34"/>
  <c r="Q20" i="34" s="1"/>
  <c r="AE20" i="34"/>
  <c r="AF27" i="34" l="1"/>
  <c r="Q27" i="34" s="1"/>
  <c r="AE27" i="34"/>
  <c r="AJ12" i="33" l="1"/>
  <c r="AJ11" i="33"/>
  <c r="D11" i="33"/>
  <c r="AK11" i="33" s="1"/>
  <c r="AJ10" i="33"/>
  <c r="AJ9" i="33"/>
  <c r="AK9" i="33" s="1"/>
  <c r="AJ8" i="33"/>
  <c r="AN7" i="33"/>
  <c r="AJ7" i="33"/>
  <c r="AJ6" i="33"/>
  <c r="AJ5" i="33"/>
  <c r="AJ4" i="33"/>
  <c r="AJ3" i="33"/>
  <c r="AJ12" i="31"/>
  <c r="AJ11" i="31"/>
  <c r="D11" i="31"/>
  <c r="AK11" i="31" s="1"/>
  <c r="AJ10" i="31"/>
  <c r="AJ9" i="31"/>
  <c r="AK9" i="31" s="1"/>
  <c r="AJ8" i="31"/>
  <c r="AN7" i="31"/>
  <c r="AJ7" i="31"/>
  <c r="AJ6" i="31"/>
  <c r="AJ5" i="31"/>
  <c r="AJ4" i="31"/>
  <c r="AN3" i="31"/>
  <c r="AJ3" i="31"/>
  <c r="AN3" i="30"/>
  <c r="AJ12" i="30"/>
  <c r="AJ11" i="30"/>
  <c r="AJ10" i="30"/>
  <c r="AJ9" i="30"/>
  <c r="AK9" i="30" s="1"/>
  <c r="AJ8" i="30"/>
  <c r="AN7" i="30"/>
  <c r="AJ7" i="30"/>
  <c r="AJ6" i="30"/>
  <c r="AJ5" i="30"/>
  <c r="AJ4" i="30"/>
  <c r="AJ3" i="30"/>
  <c r="AK7" i="33" l="1"/>
  <c r="AK3" i="31"/>
  <c r="AK7" i="31"/>
  <c r="AK3" i="30"/>
  <c r="AK7" i="30"/>
  <c r="D11" i="30" l="1"/>
  <c r="AK11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 Nakjoo</author>
    <author>Kanya Chantalod</author>
  </authors>
  <commentList>
    <comment ref="D2" authorId="0" shapeId="0" xr:uid="{D68F883E-B86E-4097-9DAE-C5F83664BF60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AJ2" authorId="0" shapeId="0" xr:uid="{2FAA3EF6-5255-409C-B3A6-E0D39AF4D02D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AK2" authorId="0" shapeId="0" xr:uid="{DF4EFE6D-B36B-4677-8F52-6FACDCEAABF7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D3" authorId="0" shapeId="0" xr:uid="{BFAFEA82-74C9-4BBB-A61F-C83A065B81C7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ยอดยกมาของเดือนที่แล้ว</t>
        </r>
      </text>
    </comment>
    <comment ref="AL3" authorId="1" shapeId="0" xr:uid="{021A930D-234D-4C09-BA9F-8AEFBCF85CA3}">
      <text>
        <r>
          <rPr>
            <b/>
            <sz val="9"/>
            <color indexed="81"/>
            <rFont val="Tahoma"/>
            <family val="2"/>
          </rPr>
          <t>Kanya Chantalod:
3500007418</t>
        </r>
      </text>
    </comment>
    <comment ref="AL7" authorId="1" shapeId="0" xr:uid="{EB846D57-E4F8-4802-9597-741B8919AA27}">
      <text>
        <r>
          <rPr>
            <b/>
            <sz val="9"/>
            <color indexed="81"/>
            <rFont val="Tahoma"/>
            <family val="2"/>
          </rPr>
          <t>Kanya Chantalod:</t>
        </r>
        <r>
          <rPr>
            <sz val="9"/>
            <color indexed="81"/>
            <rFont val="Tahoma"/>
            <family val="2"/>
          </rPr>
          <t xml:space="preserve">
3500007418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 Nakjoo</author>
    <author>Kanya Chantalod</author>
  </authors>
  <commentList>
    <comment ref="D2" authorId="0" shapeId="0" xr:uid="{F12A7E7D-2AEB-410A-BC19-993A22E3BDB9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AJ2" authorId="0" shapeId="0" xr:uid="{5A7389BF-6DCF-4008-B4DD-A5D6551B8FC9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AK2" authorId="0" shapeId="0" xr:uid="{5A93A0E1-7780-4B48-BBAF-29077AADF30F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D3" authorId="0" shapeId="0" xr:uid="{478FE39F-8D4F-4F1D-95DE-FA6DE06ECC51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ยอดยกมาของเดือนที่แล้ว</t>
        </r>
      </text>
    </comment>
    <comment ref="AL3" authorId="1" shapeId="0" xr:uid="{E0FE9DB1-51DD-4B76-B996-E37F08D45852}">
      <text>
        <r>
          <rPr>
            <b/>
            <sz val="9"/>
            <color indexed="81"/>
            <rFont val="Tahoma"/>
            <family val="2"/>
          </rPr>
          <t>Kanya Chantalod:
3500007418</t>
        </r>
      </text>
    </comment>
    <comment ref="AL7" authorId="1" shapeId="0" xr:uid="{3DCECCDA-CC9C-4BE5-AEB8-20DCA4557207}">
      <text>
        <r>
          <rPr>
            <b/>
            <sz val="9"/>
            <color indexed="81"/>
            <rFont val="Tahoma"/>
            <family val="2"/>
          </rPr>
          <t>Kanya Chantalod:</t>
        </r>
        <r>
          <rPr>
            <sz val="9"/>
            <color indexed="81"/>
            <rFont val="Tahoma"/>
            <family val="2"/>
          </rPr>
          <t xml:space="preserve">
3500007418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 Nakjoo</author>
    <author>Kanya Chantalod</author>
  </authors>
  <commentList>
    <comment ref="D2" authorId="0" shapeId="0" xr:uid="{98A756D9-B9AC-4CCE-B669-0EE8A05F3F01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AJ2" authorId="0" shapeId="0" xr:uid="{F3B28980-239B-4678-BF71-73BEEC17375E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AK2" authorId="0" shapeId="0" xr:uid="{F5D9ECC6-1B30-4ABB-B873-D4237E3E7D40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D3" authorId="0" shapeId="0" xr:uid="{74109216-3A79-48BC-AED3-59B5EEAD3C0C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ยอดยกมาของเดือนที่แล้ว</t>
        </r>
      </text>
    </comment>
    <comment ref="AL3" authorId="1" shapeId="0" xr:uid="{53B642E0-0C4A-4A16-8857-5C6BB1539266}">
      <text>
        <r>
          <rPr>
            <b/>
            <sz val="9"/>
            <color indexed="81"/>
            <rFont val="Tahoma"/>
            <family val="2"/>
          </rPr>
          <t>Kanya Chantalod:
3500007418</t>
        </r>
      </text>
    </comment>
    <comment ref="AL7" authorId="1" shapeId="0" xr:uid="{305E155A-1589-4487-87E6-7BE97B09FAD2}">
      <text>
        <r>
          <rPr>
            <b/>
            <sz val="9"/>
            <color indexed="81"/>
            <rFont val="Tahoma"/>
            <family val="2"/>
          </rPr>
          <t>Kanya Chantalod:</t>
        </r>
        <r>
          <rPr>
            <sz val="9"/>
            <color indexed="81"/>
            <rFont val="Tahoma"/>
            <family val="2"/>
          </rPr>
          <t xml:space="preserve">
3500007418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 Nakjoo</author>
    <author>Kanya Chantalod</author>
  </authors>
  <commentList>
    <comment ref="D2" authorId="0" shapeId="0" xr:uid="{E5E0DC90-3B24-43EF-B541-6070D0CF0FFD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AJ2" authorId="0" shapeId="0" xr:uid="{23D68C99-88B7-475D-BF47-E2B8663350B8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AK2" authorId="0" shapeId="0" xr:uid="{51A402E6-7B82-49A8-96E8-22CEF23BAB1A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D3" authorId="0" shapeId="0" xr:uid="{6B132D47-7530-421E-B05B-882CA906F2BE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ยอดยกมาของเดือนที่แล้ว</t>
        </r>
      </text>
    </comment>
    <comment ref="AL3" authorId="1" shapeId="0" xr:uid="{D05AE19C-A87F-49D9-9545-B82640CC86AA}">
      <text>
        <r>
          <rPr>
            <b/>
            <sz val="9"/>
            <color indexed="81"/>
            <rFont val="Tahoma"/>
            <family val="2"/>
          </rPr>
          <t>Kanya Chantalod:
3500007418</t>
        </r>
      </text>
    </comment>
    <comment ref="AL7" authorId="1" shapeId="0" xr:uid="{A3A9569A-4BAD-49E0-8570-5B0380FFCC20}">
      <text>
        <r>
          <rPr>
            <b/>
            <sz val="9"/>
            <color indexed="81"/>
            <rFont val="Tahoma"/>
            <family val="2"/>
          </rPr>
          <t>Kanya Chantalod:</t>
        </r>
        <r>
          <rPr>
            <sz val="9"/>
            <color indexed="81"/>
            <rFont val="Tahoma"/>
            <family val="2"/>
          </rPr>
          <t xml:space="preserve">
3500007418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 Nakjoo</author>
    <author>Kanya Chantalod</author>
  </authors>
  <commentList>
    <comment ref="D2" authorId="0" shapeId="0" xr:uid="{D9718D6F-0E3C-4C0E-9422-E2F93030F4E0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AJ2" authorId="0" shapeId="0" xr:uid="{B5F62E34-1058-46BB-A3F3-01EA30C28278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AK2" authorId="0" shapeId="0" xr:uid="{5AFDF535-A2E3-4129-88DB-8FA8C8532022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ยอดยกมาของเดือนก่อน</t>
        </r>
      </text>
    </comment>
    <comment ref="D3" authorId="0" shapeId="0" xr:uid="{9F77151E-C329-4020-905F-7861B9D45AB1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ยอดยกมาของเดือนที่แล้ว</t>
        </r>
      </text>
    </comment>
    <comment ref="AL3" authorId="1" shapeId="0" xr:uid="{105D94EE-9EBC-48E8-881A-B410B2B0036B}">
      <text>
        <r>
          <rPr>
            <b/>
            <sz val="9"/>
            <color indexed="81"/>
            <rFont val="Tahoma"/>
            <family val="2"/>
          </rPr>
          <t>Kanya Chantalod:
3500007418</t>
        </r>
      </text>
    </comment>
    <comment ref="AL7" authorId="1" shapeId="0" xr:uid="{70101AA5-A648-43DD-B5EC-E398CC0DC197}">
      <text>
        <r>
          <rPr>
            <b/>
            <sz val="9"/>
            <color indexed="81"/>
            <rFont val="Tahoma"/>
            <family val="2"/>
          </rPr>
          <t>Kanya Chantalod:</t>
        </r>
        <r>
          <rPr>
            <sz val="9"/>
            <color indexed="81"/>
            <rFont val="Tahoma"/>
            <family val="2"/>
          </rPr>
          <t xml:space="preserve">
3500007418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Anat Nakjoo</author>
    <author>Kanya Chantalod</author>
  </authors>
  <commentList>
    <comment ref="O2" authorId="0" shapeId="0" xr:uid="{FDE125CE-3D4E-4E1C-AAC9-18A8E1A34C59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R3" authorId="1" shapeId="0" xr:uid="{637F245C-1E47-44BF-86F9-6204C6AC84D6}">
      <text>
        <r>
          <rPr>
            <b/>
            <sz val="9"/>
            <color indexed="81"/>
            <rFont val="Tahoma"/>
            <family val="2"/>
          </rPr>
          <t>Kanya Chantalod:
3500007418</t>
        </r>
      </text>
    </comment>
    <comment ref="R7" authorId="1" shapeId="0" xr:uid="{87737D57-2C2C-410D-A0AD-6F70F5D5187C}">
      <text>
        <r>
          <rPr>
            <b/>
            <sz val="9"/>
            <color indexed="81"/>
            <rFont val="Tahoma"/>
            <family val="2"/>
          </rPr>
          <t>Kanya Chantalod:</t>
        </r>
        <r>
          <rPr>
            <sz val="9"/>
            <color indexed="81"/>
            <rFont val="Tahoma"/>
            <family val="2"/>
          </rPr>
          <t xml:space="preserve">
3500007418</t>
        </r>
      </text>
    </comment>
    <comment ref="O12" authorId="0" shapeId="0" xr:uid="{5D334A1A-A801-47FF-86AC-EBF77CC894BC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O19" authorId="0" shapeId="0" xr:uid="{F59E28D0-53E6-452E-AF7E-D645778C2E96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O26" authorId="0" shapeId="0" xr:uid="{F66F2318-FB6D-4C28-9CD0-B93CCF642B60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ยอดรวม</t>
        </r>
      </text>
    </comment>
    <comment ref="O37" authorId="0" shapeId="0" xr:uid="{4B697C81-0CEC-426E-AC57-AAF88BCAD47E}">
      <text>
        <r>
          <rPr>
            <b/>
            <sz val="9"/>
            <color indexed="81"/>
            <rFont val="Tahoma"/>
            <family val="2"/>
          </rPr>
          <t>Anat Nakjoo:</t>
        </r>
        <r>
          <rPr>
            <sz val="9"/>
            <color indexed="81"/>
            <rFont val="Tahoma"/>
            <family val="2"/>
          </rPr>
          <t xml:space="preserve">
งบค่ากาซ</t>
        </r>
      </text>
    </comment>
  </commentList>
</comments>
</file>

<file path=xl/sharedStrings.xml><?xml version="1.0" encoding="utf-8"?>
<sst xmlns="http://schemas.openxmlformats.org/spreadsheetml/2006/main" count="259" uniqueCount="67">
  <si>
    <t>SC632</t>
  </si>
  <si>
    <t>AC500</t>
  </si>
  <si>
    <t>TGA701</t>
  </si>
  <si>
    <r>
      <t>O</t>
    </r>
    <r>
      <rPr>
        <b/>
        <vertAlign val="subscript"/>
        <sz val="14"/>
        <color theme="1"/>
        <rFont val="Calibri"/>
        <family val="2"/>
        <scheme val="minor"/>
      </rPr>
      <t>2</t>
    </r>
  </si>
  <si>
    <t>Total</t>
  </si>
  <si>
    <t>O2</t>
  </si>
  <si>
    <t>N2</t>
  </si>
  <si>
    <t>Type</t>
  </si>
  <si>
    <t>Adding</t>
  </si>
  <si>
    <t>Usage</t>
  </si>
  <si>
    <t>Description</t>
  </si>
  <si>
    <t>O2 (96%)</t>
  </si>
  <si>
    <t>Helium</t>
  </si>
  <si>
    <t>CHN</t>
  </si>
  <si>
    <t>O2 (100%)</t>
  </si>
  <si>
    <r>
      <t>N</t>
    </r>
    <r>
      <rPr>
        <b/>
        <vertAlign val="subscript"/>
        <sz val="14"/>
        <rFont val="Calibri"/>
        <family val="2"/>
        <scheme val="minor"/>
      </rPr>
      <t>2</t>
    </r>
  </si>
  <si>
    <r>
      <t xml:space="preserve">PO Order
</t>
    </r>
    <r>
      <rPr>
        <b/>
        <sz val="12"/>
        <color theme="0"/>
        <rFont val="Phetsarath OT"/>
      </rPr>
      <t>( ອໍເດີ )</t>
    </r>
  </si>
  <si>
    <r>
      <t xml:space="preserve">PO Received
</t>
    </r>
    <r>
      <rPr>
        <b/>
        <sz val="12"/>
        <color theme="0"/>
        <rFont val="Phetsarath OT"/>
      </rPr>
      <t>(ໄດ້ຮັບ)</t>
    </r>
  </si>
  <si>
    <r>
      <t xml:space="preserve">PO Remain
</t>
    </r>
    <r>
      <rPr>
        <b/>
        <sz val="12"/>
        <color theme="0"/>
        <rFont val="Phetsarath OT"/>
      </rPr>
      <t>(ຄ້າງ)</t>
    </r>
  </si>
  <si>
    <t xml:space="preserve">Remain
(ຍອດທີ່ເຫຼືອທ້າຍເດືອນ 12)
</t>
  </si>
  <si>
    <t xml:space="preserve">Remine
(ຍອດຕົ້ນເດືອນ 1)
</t>
  </si>
  <si>
    <t>Gas Usage summary on Jan 2026</t>
  </si>
  <si>
    <t>Gas Usage summary on Fed 2026</t>
  </si>
  <si>
    <t xml:space="preserve">Remine
(ຍອດຕົ້ນເດືອນ 2)
</t>
  </si>
  <si>
    <t>Gas Usage summary on Mar 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</si>
  <si>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</si>
  <si>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</si>
  <si>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</si>
  <si>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</si>
  <si>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</si>
  <si>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</si>
  <si>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</si>
  <si>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</si>
  <si>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</si>
  <si>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</si>
  <si>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</si>
  <si>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</si>
  <si>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Average
</t>
  </si>
  <si>
    <t>แต่ละไตรมาสจะต้องส่งไปในแต่ละครั้งประมาณ 100 ถัง (95 ถัง)</t>
  </si>
  <si>
    <t>Q1</t>
  </si>
  <si>
    <t>Q2</t>
  </si>
  <si>
    <t>Q3</t>
  </si>
  <si>
    <t>Q4</t>
  </si>
  <si>
    <t xml:space="preserve">Average (Q1,Q2,Q3,Q4)
</t>
  </si>
  <si>
    <t>ทุก 2 เดือนจะต้องส่งไปในแต่ละครั้งประมาณ 65 ถัง (63 ถัง)</t>
  </si>
  <si>
    <t>Q5</t>
  </si>
  <si>
    <t>Q6</t>
  </si>
  <si>
    <t xml:space="preserve">Average (Q1,Q2,Q3,Q4,Q5,Q6)
</t>
  </si>
  <si>
    <t>จำนวน</t>
  </si>
  <si>
    <t>ค่าทดสอบ/ถัง</t>
  </si>
  <si>
    <t>ค่าซื้อถังใหม่/ถัง</t>
  </si>
  <si>
    <t>ยังไม่รวมค่าขนส่ง,VAT10%,Import duty 5%,custom clearance</t>
  </si>
  <si>
    <t>Gas Usage summary in Y2026</t>
  </si>
  <si>
    <t>ผังควบคุมจำนวนถังแก๊ส</t>
  </si>
  <si>
    <t>ถังทั้งหมด</t>
  </si>
  <si>
    <t>เต็ม</t>
  </si>
  <si>
    <t>ว่าง</t>
  </si>
  <si>
    <t>ไม่มี</t>
  </si>
  <si>
    <t>สถานะ : เต็ม,ว่าง,กำลังใช้,ชำรุด</t>
  </si>
  <si>
    <t>ประเภทแก๊ส</t>
  </si>
  <si>
    <t>หมายเลขถัง</t>
  </si>
  <si>
    <t>Remain</t>
  </si>
  <si>
    <t xml:space="preserve">Remine
(ຍອດຕົ້ນເດືອນ 3)
</t>
  </si>
  <si>
    <t>Gas Usage summary on Apr 2026</t>
  </si>
  <si>
    <t xml:space="preserve">Remine
(ຍອດຕົ້ນເດືອນ 4)
</t>
  </si>
  <si>
    <t>Gas Usage summary on May 2026</t>
  </si>
  <si>
    <t xml:space="preserve">Remine
(ຍອດຕົ້ນເດືອນ 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</si>
</sst>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b/>
      <sz val="11"/>
      <color theme="1"/>
      <name val="Phetsarath OT"/>
    </font>
    <font>
      <b/>
      <sz val="12"/>
      <color rgb="FF0000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vertAlign val="subscript"/>
      <sz val="14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Phetsarath OT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u val="double"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6" tint="0.3999755851924192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6" borderId="3" xfId="0" applyFont="1" applyFill="1" applyBorder="1"/>
    <xf numFmtId="0" fontId="8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1" fontId="8" fillId="12" borderId="2" xfId="0" applyNumberFormat="1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2" fillId="7" borderId="3" xfId="0" applyFont="1" applyFill="1" applyBorder="1"/>
    <xf numFmtId="0" fontId="1" fillId="13" borderId="2" xfId="0" applyFont="1" applyFill="1" applyBorder="1" applyAlignment="1">
      <alignment horizontal="center" vertical="center"/>
    </xf>
    <xf numFmtId="0" fontId="2" fillId="5" borderId="3" xfId="0" applyFont="1" applyFill="1" applyBorder="1"/>
    <xf numFmtId="0" fontId="1" fillId="1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3" fillId="0" borderId="3" xfId="0" applyFont="1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0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23" fillId="0" borderId="0" xfId="0" applyFont="1" applyAlignment="1">
      <alignment vertical="center"/>
    </xf>
    <xf numFmtId="1" fontId="24" fillId="0" borderId="18" xfId="0" applyNumberFormat="1" applyFont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1" fontId="27" fillId="14" borderId="18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right" vertical="center"/>
    </xf>
    <xf numFmtId="1" fontId="27" fillId="15" borderId="18" xfId="0" applyNumberFormat="1" applyFont="1" applyFill="1" applyBorder="1" applyAlignment="1">
      <alignment horizontal="center" vertical="center"/>
    </xf>
    <xf numFmtId="1" fontId="27" fillId="3" borderId="18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1" fontId="27" fillId="11" borderId="18" xfId="0" applyNumberFormat="1" applyFont="1" applyFill="1" applyBorder="1" applyAlignment="1">
      <alignment horizontal="center" vertical="center"/>
    </xf>
    <xf numFmtId="0" fontId="21" fillId="0" borderId="0" xfId="0" applyFont="1"/>
    <xf numFmtId="0" fontId="0" fillId="16" borderId="18" xfId="0" applyFill="1" applyBorder="1"/>
    <xf numFmtId="0" fontId="0" fillId="4" borderId="0" xfId="0" applyFill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7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1" fontId="7" fillId="5" borderId="2" xfId="0" applyNumberFormat="1" applyFont="1" applyFill="1" applyBorder="1" applyAlignment="1">
      <alignment horizontal="center" vertical="center"/>
    </xf>
    <xf numFmtId="1" fontId="7" fillId="5" borderId="4" xfId="0" applyNumberFormat="1" applyFont="1" applyFill="1" applyBorder="1" applyAlignment="1">
      <alignment horizontal="center" vertical="center"/>
    </xf>
    <xf numFmtId="1" fontId="30" fillId="5" borderId="2" xfId="0" applyNumberFormat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25" fillId="0" borderId="18" xfId="0" applyFont="1" applyBorder="1"/>
    <xf numFmtId="0" fontId="22" fillId="4" borderId="14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1" fontId="6" fillId="7" borderId="4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" fontId="1" fillId="13" borderId="2" xfId="0" applyNumberFormat="1" applyFon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66"/>
      <color rgb="FF0000FF"/>
      <color rgb="FFFFFF00"/>
      <color rgb="FFFFFFCC"/>
      <color rgb="FFEE80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12</xdr:col>
      <xdr:colOff>60659</xdr:colOff>
      <xdr:row>48</xdr:row>
      <xdr:rowOff>263998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12165-0BD9-4E43-BF07-107C7EACC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16200120"/>
          <a:ext cx="4678742" cy="3921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</xdr:colOff>
      <xdr:row>9</xdr:row>
      <xdr:rowOff>21861</xdr:rowOff>
    </xdr:from>
    <xdr:ext cx="647700" cy="7401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3A18A4-66E7-4BDF-8441-143C7B22A1F2}"/>
            </a:ext>
          </a:extLst>
        </xdr:cNvPr>
        <xdr:cNvSpPr txBox="1"/>
      </xdr:nvSpPr>
      <xdr:spPr>
        <a:xfrm>
          <a:off x="1225550" y="1920511"/>
          <a:ext cx="647700" cy="74013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39700">
            <a:schemeClr val="accent6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oneCellAnchor>
  <xdr:twoCellAnchor>
    <xdr:from>
      <xdr:col>3</xdr:col>
      <xdr:colOff>381000</xdr:colOff>
      <xdr:row>9</xdr:row>
      <xdr:rowOff>12700</xdr:rowOff>
    </xdr:from>
    <xdr:to>
      <xdr:col>4</xdr:col>
      <xdr:colOff>419100</xdr:colOff>
      <xdr:row>13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804F61-8C47-4AAD-9453-840683A53255}"/>
            </a:ext>
          </a:extLst>
        </xdr:cNvPr>
        <xdr:cNvSpPr txBox="1"/>
      </xdr:nvSpPr>
      <xdr:spPr>
        <a:xfrm>
          <a:off x="2209800" y="191135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39700">
            <a:schemeClr val="accent6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5</xdr:col>
      <xdr:colOff>177800</xdr:colOff>
      <xdr:row>9</xdr:row>
      <xdr:rowOff>6350</xdr:rowOff>
    </xdr:from>
    <xdr:to>
      <xdr:col>6</xdr:col>
      <xdr:colOff>215900</xdr:colOff>
      <xdr:row>13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BB413C-690D-420A-98E4-15335E820E4C}"/>
            </a:ext>
          </a:extLst>
        </xdr:cNvPr>
        <xdr:cNvSpPr txBox="1"/>
      </xdr:nvSpPr>
      <xdr:spPr>
        <a:xfrm>
          <a:off x="3225800" y="190500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39700">
            <a:schemeClr val="accent6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7</xdr:col>
      <xdr:colOff>31750</xdr:colOff>
      <xdr:row>9</xdr:row>
      <xdr:rowOff>6350</xdr:rowOff>
    </xdr:from>
    <xdr:to>
      <xdr:col>8</xdr:col>
      <xdr:colOff>69850</xdr:colOff>
      <xdr:row>13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CD2B30-2FD7-4B82-B985-0B205E191FF6}"/>
            </a:ext>
          </a:extLst>
        </xdr:cNvPr>
        <xdr:cNvSpPr txBox="1"/>
      </xdr:nvSpPr>
      <xdr:spPr>
        <a:xfrm>
          <a:off x="4298950" y="190500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39700">
            <a:schemeClr val="accent6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8</xdr:col>
      <xdr:colOff>476250</xdr:colOff>
      <xdr:row>9</xdr:row>
      <xdr:rowOff>6350</xdr:rowOff>
    </xdr:from>
    <xdr:to>
      <xdr:col>9</xdr:col>
      <xdr:colOff>514350</xdr:colOff>
      <xdr:row>13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811CA9-7512-4A99-AEC1-20BF62C1CCAE}"/>
            </a:ext>
          </a:extLst>
        </xdr:cNvPr>
        <xdr:cNvSpPr txBox="1"/>
      </xdr:nvSpPr>
      <xdr:spPr>
        <a:xfrm>
          <a:off x="5353050" y="190500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  <a:effectLst>
          <a:glow rad="139700">
            <a:schemeClr val="accent4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330200</xdr:colOff>
      <xdr:row>9</xdr:row>
      <xdr:rowOff>6350</xdr:rowOff>
    </xdr:from>
    <xdr:to>
      <xdr:col>11</xdr:col>
      <xdr:colOff>368300</xdr:colOff>
      <xdr:row>13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B45605-0E9D-43A2-8AA6-24A185AE8FD1}"/>
            </a:ext>
          </a:extLst>
        </xdr:cNvPr>
        <xdr:cNvSpPr txBox="1"/>
      </xdr:nvSpPr>
      <xdr:spPr>
        <a:xfrm>
          <a:off x="6426200" y="190500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  <a:effectLst>
          <a:glow rad="139700">
            <a:schemeClr val="accent4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190500</xdr:colOff>
      <xdr:row>9</xdr:row>
      <xdr:rowOff>6350</xdr:rowOff>
    </xdr:from>
    <xdr:to>
      <xdr:col>13</xdr:col>
      <xdr:colOff>165100</xdr:colOff>
      <xdr:row>13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E25B9B-674A-463F-885D-D4038DFAD764}"/>
            </a:ext>
          </a:extLst>
        </xdr:cNvPr>
        <xdr:cNvSpPr txBox="1"/>
      </xdr:nvSpPr>
      <xdr:spPr>
        <a:xfrm>
          <a:off x="7505700" y="1905000"/>
          <a:ext cx="584200" cy="7302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He</a:t>
          </a:r>
        </a:p>
        <a:p>
          <a:endParaRPr lang="en-US" sz="1100"/>
        </a:p>
      </xdr:txBody>
    </xdr:sp>
    <xdr:clientData/>
  </xdr:twoCellAnchor>
  <xdr:twoCellAnchor>
    <xdr:from>
      <xdr:col>13</xdr:col>
      <xdr:colOff>577850</xdr:colOff>
      <xdr:row>9</xdr:row>
      <xdr:rowOff>6350</xdr:rowOff>
    </xdr:from>
    <xdr:to>
      <xdr:col>15</xdr:col>
      <xdr:colOff>6350</xdr:colOff>
      <xdr:row>13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AB6EAA1-EC3F-4A83-9278-959DF365518A}"/>
            </a:ext>
          </a:extLst>
        </xdr:cNvPr>
        <xdr:cNvSpPr txBox="1"/>
      </xdr:nvSpPr>
      <xdr:spPr>
        <a:xfrm>
          <a:off x="8502650" y="1905000"/>
          <a:ext cx="647700" cy="7302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ap="rnd" cmpd="sng">
          <a:solidFill>
            <a:schemeClr val="lt1">
              <a:shade val="50000"/>
            </a:schemeClr>
          </a:solidFill>
        </a:ln>
        <a:effectLst>
          <a:glow rad="139700">
            <a:schemeClr val="accent3">
              <a:satMod val="175000"/>
              <a:alpha val="40000"/>
            </a:schemeClr>
          </a:glow>
          <a:reflection stA="45000" endPos="65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freezing" dir="t"/>
          </a:scene3d>
          <a:sp3d prstMaterial="matte"/>
        </a:bodyPr>
        <a:lstStyle/>
        <a:p>
          <a:pPr algn="l"/>
          <a:r>
            <a:rPr lang="en-US" sz="16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O2</a:t>
          </a:r>
          <a:r>
            <a:rPr lang="th-TH" sz="12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 </a:t>
          </a:r>
          <a:r>
            <a:rPr lang="en-US" sz="10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(100%)</a:t>
          </a:r>
        </a:p>
        <a:p>
          <a:endParaRPr lang="en-US" sz="1100"/>
        </a:p>
      </xdr:txBody>
    </xdr:sp>
    <xdr:clientData/>
  </xdr:twoCellAnchor>
  <xdr:oneCellAnchor>
    <xdr:from>
      <xdr:col>1</xdr:col>
      <xdr:colOff>512717</xdr:colOff>
      <xdr:row>11</xdr:row>
      <xdr:rowOff>18506</xdr:rowOff>
    </xdr:from>
    <xdr:ext cx="901700" cy="4381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E28872E-7A52-44E6-9267-0201BBFB6E86}"/>
            </a:ext>
          </a:extLst>
        </xdr:cNvPr>
        <xdr:cNvSpPr txBox="1"/>
      </xdr:nvSpPr>
      <xdr:spPr>
        <a:xfrm>
          <a:off x="1122317" y="2315392"/>
          <a:ext cx="901700" cy="438150"/>
        </a:xfrm>
        <a:prstGeom prst="rect">
          <a:avLst/>
        </a:prstGeom>
        <a:noFill/>
        <a:scene3d>
          <a:camera prst="orthographicFront"/>
          <a:lightRig rig="sunrise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</a:t>
          </a:r>
        </a:p>
        <a:p>
          <a:pPr algn="ctr"/>
          <a:r>
            <a:rPr lang="th-TH" sz="800">
              <a:solidFill>
                <a:srgbClr val="FFFF00"/>
              </a:solidFill>
            </a:rPr>
            <a:t>สถานะ</a:t>
          </a:r>
          <a:r>
            <a:rPr lang="en-US" sz="800">
              <a:solidFill>
                <a:srgbClr val="FF0000"/>
              </a:solidFill>
            </a:rPr>
            <a:t>:Work</a:t>
          </a:r>
          <a:r>
            <a:rPr lang="en-US" sz="800" baseline="0">
              <a:solidFill>
                <a:srgbClr val="FF0000"/>
              </a:solidFill>
            </a:rPr>
            <a:t>ing</a:t>
          </a:r>
          <a:endParaRPr lang="th-TH" sz="800" baseline="0">
            <a:solidFill>
              <a:srgbClr val="FF0000"/>
            </a:solidFill>
          </a:endParaRP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3</xdr:col>
      <xdr:colOff>254000</xdr:colOff>
      <xdr:row>11</xdr:row>
      <xdr:rowOff>12700</xdr:rowOff>
    </xdr:from>
    <xdr:ext cx="908050" cy="4381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8B5D664-0FC0-4210-AEC9-F7C568DFE6A5}"/>
            </a:ext>
          </a:extLst>
        </xdr:cNvPr>
        <xdr:cNvSpPr txBox="1"/>
      </xdr:nvSpPr>
      <xdr:spPr>
        <a:xfrm>
          <a:off x="2082800" y="2279650"/>
          <a:ext cx="9080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2</a:t>
          </a:r>
        </a:p>
        <a:p>
          <a:pPr algn="ctr"/>
          <a:r>
            <a:rPr lang="th-TH" sz="800">
              <a:solidFill>
                <a:srgbClr val="FFFF00"/>
              </a:solidFill>
            </a:rPr>
            <a:t>สถานะ</a:t>
          </a:r>
          <a:r>
            <a:rPr lang="en-US" sz="800">
              <a:solidFill>
                <a:srgbClr val="FF0000"/>
              </a:solidFill>
            </a:rPr>
            <a:t>:</a:t>
          </a:r>
          <a:r>
            <a:rPr lang="en-US" sz="800" baseline="0">
              <a:solidFill>
                <a:srgbClr val="FF0000"/>
              </a:solidFill>
            </a:rPr>
            <a:t>working</a:t>
          </a:r>
          <a:endParaRPr lang="th-TH" sz="800" baseline="0">
            <a:solidFill>
              <a:srgbClr val="FF0000"/>
            </a:solidFill>
          </a:endParaRP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5</xdr:col>
      <xdr:colOff>31750</xdr:colOff>
      <xdr:row>11</xdr:row>
      <xdr:rowOff>12700</xdr:rowOff>
    </xdr:from>
    <xdr:ext cx="920750" cy="4381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E08E185-A404-42BB-8F82-E23F1C0B85DD}"/>
            </a:ext>
          </a:extLst>
        </xdr:cNvPr>
        <xdr:cNvSpPr txBox="1"/>
      </xdr:nvSpPr>
      <xdr:spPr>
        <a:xfrm>
          <a:off x="3079750" y="2279650"/>
          <a:ext cx="9207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3</a:t>
          </a:r>
        </a:p>
        <a:p>
          <a:pPr algn="ctr"/>
          <a:r>
            <a:rPr lang="th-TH" sz="800">
              <a:solidFill>
                <a:srgbClr val="FFFF00"/>
              </a:solidFill>
            </a:rPr>
            <a:t>สถานะ</a:t>
          </a:r>
          <a:r>
            <a:rPr lang="en-US" sz="800">
              <a:solidFill>
                <a:srgbClr val="FF0000"/>
              </a:solidFill>
            </a:rPr>
            <a:t>:working</a:t>
          </a:r>
        </a:p>
      </xdr:txBody>
    </xdr:sp>
    <xdr:clientData/>
  </xdr:oneCellAnchor>
  <xdr:oneCellAnchor>
    <xdr:from>
      <xdr:col>6</xdr:col>
      <xdr:colOff>488950</xdr:colOff>
      <xdr:row>11</xdr:row>
      <xdr:rowOff>12700</xdr:rowOff>
    </xdr:from>
    <xdr:ext cx="952500" cy="4381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C3F67E-319F-4220-933A-0B640E06214C}"/>
            </a:ext>
          </a:extLst>
        </xdr:cNvPr>
        <xdr:cNvSpPr txBox="1"/>
      </xdr:nvSpPr>
      <xdr:spPr>
        <a:xfrm>
          <a:off x="4146550" y="2279650"/>
          <a:ext cx="95250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4</a:t>
          </a:r>
        </a:p>
        <a:p>
          <a:pPr algn="ctr"/>
          <a:r>
            <a:rPr lang="th-TH" sz="800">
              <a:solidFill>
                <a:srgbClr val="FFFF00"/>
              </a:solidFill>
            </a:rPr>
            <a:t>สถานะ </a:t>
          </a:r>
          <a:r>
            <a:rPr lang="en-US" sz="800">
              <a:solidFill>
                <a:srgbClr val="FF0000"/>
              </a:solidFill>
            </a:rPr>
            <a:t>:working</a:t>
          </a:r>
          <a:endParaRPr lang="th-TH" sz="800" baseline="0">
            <a:solidFill>
              <a:srgbClr val="FF0000"/>
            </a:solidFill>
          </a:endParaRP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8</xdr:col>
      <xdr:colOff>361950</xdr:colOff>
      <xdr:row>11</xdr:row>
      <xdr:rowOff>6350</xdr:rowOff>
    </xdr:from>
    <xdr:ext cx="895350" cy="4381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6DAC280-8B18-4B0D-B6E5-90F38DA64689}"/>
            </a:ext>
          </a:extLst>
        </xdr:cNvPr>
        <xdr:cNvSpPr txBox="1"/>
      </xdr:nvSpPr>
      <xdr:spPr>
        <a:xfrm>
          <a:off x="5238750" y="2273300"/>
          <a:ext cx="8953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</a:t>
          </a:r>
        </a:p>
        <a:p>
          <a:pPr algn="ctr"/>
          <a:r>
            <a:rPr lang="th-TH" sz="800">
              <a:solidFill>
                <a:srgbClr val="FFFF00"/>
              </a:solidFill>
            </a:rPr>
            <a:t>สถานะ</a:t>
          </a:r>
          <a:r>
            <a:rPr lang="en-US" sz="800">
              <a:solidFill>
                <a:srgbClr val="FF0000"/>
              </a:solidFill>
            </a:rPr>
            <a:t>:working</a:t>
          </a:r>
          <a:endParaRPr lang="th-TH" sz="800" baseline="0">
            <a:solidFill>
              <a:srgbClr val="FF0000"/>
            </a:solidFill>
          </a:endParaRP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10</xdr:col>
      <xdr:colOff>241300</xdr:colOff>
      <xdr:row>10</xdr:row>
      <xdr:rowOff>177800</xdr:rowOff>
    </xdr:from>
    <xdr:ext cx="831850" cy="4381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3AAE7AF-2576-4803-AC7F-ECAE0CBFDC50}"/>
            </a:ext>
          </a:extLst>
        </xdr:cNvPr>
        <xdr:cNvSpPr txBox="1"/>
      </xdr:nvSpPr>
      <xdr:spPr>
        <a:xfrm>
          <a:off x="6337300" y="22606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2</a:t>
          </a:r>
        </a:p>
        <a:p>
          <a:pPr algn="ctr"/>
          <a:r>
            <a:rPr lang="th-TH" sz="800">
              <a:solidFill>
                <a:srgbClr val="FFFF00"/>
              </a:solidFill>
            </a:rPr>
            <a:t>สถานะ</a:t>
          </a:r>
          <a:r>
            <a:rPr lang="en-US" sz="800">
              <a:solidFill>
                <a:srgbClr val="FF0000"/>
              </a:solidFill>
            </a:rPr>
            <a:t>:working</a:t>
          </a:r>
          <a:endParaRPr lang="th-TH" sz="800" baseline="0">
            <a:solidFill>
              <a:srgbClr val="FF0000"/>
            </a:solidFill>
          </a:endParaRP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12</xdr:col>
      <xdr:colOff>107950</xdr:colOff>
      <xdr:row>11</xdr:row>
      <xdr:rowOff>0</xdr:rowOff>
    </xdr:from>
    <xdr:ext cx="831850" cy="4381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3A575AA-F0FF-4694-9AB2-FE1928BE6EEA}"/>
            </a:ext>
          </a:extLst>
        </xdr:cNvPr>
        <xdr:cNvSpPr txBox="1"/>
      </xdr:nvSpPr>
      <xdr:spPr>
        <a:xfrm>
          <a:off x="7423150" y="22669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</a:t>
          </a:r>
        </a:p>
        <a:p>
          <a:pPr algn="ctr"/>
          <a:r>
            <a:rPr lang="th-TH" sz="800">
              <a:solidFill>
                <a:srgbClr val="FFFF00"/>
              </a:solidFill>
            </a:rPr>
            <a:t>สถานะ</a:t>
          </a:r>
          <a:r>
            <a:rPr lang="en-US" sz="800">
              <a:solidFill>
                <a:srgbClr val="FF0000"/>
              </a:solidFill>
            </a:rPr>
            <a:t>:working</a:t>
          </a:r>
          <a:endParaRPr lang="th-TH" sz="800" baseline="0">
            <a:solidFill>
              <a:srgbClr val="FF0000"/>
            </a:solidFill>
          </a:endParaRP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13</xdr:col>
      <xdr:colOff>508000</xdr:colOff>
      <xdr:row>10</xdr:row>
      <xdr:rowOff>177800</xdr:rowOff>
    </xdr:from>
    <xdr:ext cx="831850" cy="4381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58F90F1-778D-47BC-9AFD-B0C224CBBDAC}"/>
            </a:ext>
          </a:extLst>
        </xdr:cNvPr>
        <xdr:cNvSpPr txBox="1"/>
      </xdr:nvSpPr>
      <xdr:spPr>
        <a:xfrm>
          <a:off x="8432800" y="22606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</a:t>
          </a:r>
        </a:p>
        <a:p>
          <a:pPr algn="ctr"/>
          <a:r>
            <a:rPr lang="th-TH" sz="800">
              <a:solidFill>
                <a:srgbClr val="FFFF00"/>
              </a:solidFill>
            </a:rPr>
            <a:t>สถานะ</a:t>
          </a:r>
          <a:r>
            <a:rPr lang="en-US" sz="800">
              <a:solidFill>
                <a:srgbClr val="FF0000"/>
              </a:solidFill>
            </a:rPr>
            <a:t>:working</a:t>
          </a:r>
          <a:endParaRPr lang="th-TH" sz="800" baseline="0">
            <a:solidFill>
              <a:srgbClr val="FF0000"/>
            </a:solidFill>
          </a:endParaRP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2</xdr:col>
      <xdr:colOff>6350</xdr:colOff>
      <xdr:row>14</xdr:row>
      <xdr:rowOff>34561</xdr:rowOff>
    </xdr:from>
    <xdr:ext cx="647700" cy="740139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422EB2B-7D54-424D-AAF5-02E01F2AF5A1}"/>
            </a:ext>
          </a:extLst>
        </xdr:cNvPr>
        <xdr:cNvSpPr txBox="1"/>
      </xdr:nvSpPr>
      <xdr:spPr>
        <a:xfrm>
          <a:off x="1225550" y="2853961"/>
          <a:ext cx="647700" cy="74013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oneCellAnchor>
  <xdr:twoCellAnchor>
    <xdr:from>
      <xdr:col>3</xdr:col>
      <xdr:colOff>381000</xdr:colOff>
      <xdr:row>14</xdr:row>
      <xdr:rowOff>25400</xdr:rowOff>
    </xdr:from>
    <xdr:to>
      <xdr:col>4</xdr:col>
      <xdr:colOff>419100</xdr:colOff>
      <xdr:row>18</xdr:row>
      <xdr:rowOff>19050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4AA12B0-C1B5-479B-949B-7A212AB6A216}"/>
            </a:ext>
          </a:extLst>
        </xdr:cNvPr>
        <xdr:cNvSpPr txBox="1"/>
      </xdr:nvSpPr>
      <xdr:spPr>
        <a:xfrm>
          <a:off x="2209800" y="284480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5</xdr:col>
      <xdr:colOff>177800</xdr:colOff>
      <xdr:row>14</xdr:row>
      <xdr:rowOff>19050</xdr:rowOff>
    </xdr:from>
    <xdr:to>
      <xdr:col>6</xdr:col>
      <xdr:colOff>215900</xdr:colOff>
      <xdr:row>18</xdr:row>
      <xdr:rowOff>12700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6FAAF1D-B6EA-4B3D-A24B-E7DB1D839162}"/>
            </a:ext>
          </a:extLst>
        </xdr:cNvPr>
        <xdr:cNvSpPr txBox="1"/>
      </xdr:nvSpPr>
      <xdr:spPr>
        <a:xfrm>
          <a:off x="3225800" y="283845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7</xdr:col>
      <xdr:colOff>31750</xdr:colOff>
      <xdr:row>14</xdr:row>
      <xdr:rowOff>19050</xdr:rowOff>
    </xdr:from>
    <xdr:to>
      <xdr:col>8</xdr:col>
      <xdr:colOff>69850</xdr:colOff>
      <xdr:row>18</xdr:row>
      <xdr:rowOff>12700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A828329-B71A-4C1B-9343-728AC111C635}"/>
            </a:ext>
          </a:extLst>
        </xdr:cNvPr>
        <xdr:cNvSpPr txBox="1"/>
      </xdr:nvSpPr>
      <xdr:spPr>
        <a:xfrm>
          <a:off x="4298950" y="283845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8</xdr:col>
      <xdr:colOff>476250</xdr:colOff>
      <xdr:row>14</xdr:row>
      <xdr:rowOff>19050</xdr:rowOff>
    </xdr:from>
    <xdr:to>
      <xdr:col>9</xdr:col>
      <xdr:colOff>514350</xdr:colOff>
      <xdr:row>18</xdr:row>
      <xdr:rowOff>12700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E70C7E2-6403-4833-B9CC-4126C465D9BF}"/>
            </a:ext>
          </a:extLst>
        </xdr:cNvPr>
        <xdr:cNvSpPr txBox="1"/>
      </xdr:nvSpPr>
      <xdr:spPr>
        <a:xfrm>
          <a:off x="5353050" y="283845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330200</xdr:colOff>
      <xdr:row>14</xdr:row>
      <xdr:rowOff>19050</xdr:rowOff>
    </xdr:from>
    <xdr:to>
      <xdr:col>11</xdr:col>
      <xdr:colOff>368300</xdr:colOff>
      <xdr:row>18</xdr:row>
      <xdr:rowOff>12700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AFDE76B-0A1F-41DD-A34A-4C33B68EB7D0}"/>
            </a:ext>
          </a:extLst>
        </xdr:cNvPr>
        <xdr:cNvSpPr txBox="1"/>
      </xdr:nvSpPr>
      <xdr:spPr>
        <a:xfrm>
          <a:off x="6426200" y="283845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190500</xdr:colOff>
      <xdr:row>14</xdr:row>
      <xdr:rowOff>19050</xdr:rowOff>
    </xdr:from>
    <xdr:to>
      <xdr:col>13</xdr:col>
      <xdr:colOff>165100</xdr:colOff>
      <xdr:row>18</xdr:row>
      <xdr:rowOff>12700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889F866-DE59-42A4-A133-5C5CB515BCCE}"/>
            </a:ext>
          </a:extLst>
        </xdr:cNvPr>
        <xdr:cNvSpPr txBox="1"/>
      </xdr:nvSpPr>
      <xdr:spPr>
        <a:xfrm>
          <a:off x="7505700" y="2838450"/>
          <a:ext cx="584200" cy="7302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He</a:t>
          </a:r>
        </a:p>
        <a:p>
          <a:endParaRPr lang="en-US" sz="1100"/>
        </a:p>
      </xdr:txBody>
    </xdr:sp>
    <xdr:clientData/>
  </xdr:twoCellAnchor>
  <xdr:twoCellAnchor>
    <xdr:from>
      <xdr:col>13</xdr:col>
      <xdr:colOff>577850</xdr:colOff>
      <xdr:row>14</xdr:row>
      <xdr:rowOff>19050</xdr:rowOff>
    </xdr:from>
    <xdr:to>
      <xdr:col>15</xdr:col>
      <xdr:colOff>6350</xdr:colOff>
      <xdr:row>18</xdr:row>
      <xdr:rowOff>12700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24BE537-6642-4A6F-8465-DC88311E3A87}"/>
            </a:ext>
          </a:extLst>
        </xdr:cNvPr>
        <xdr:cNvSpPr txBox="1"/>
      </xdr:nvSpPr>
      <xdr:spPr>
        <a:xfrm>
          <a:off x="8502650" y="2838450"/>
          <a:ext cx="647700" cy="7302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O2</a:t>
          </a:r>
          <a:r>
            <a:rPr lang="th-TH" sz="12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 </a:t>
          </a:r>
          <a:r>
            <a:rPr lang="en-US" sz="10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(100%)</a:t>
          </a:r>
        </a:p>
        <a:p>
          <a:endParaRPr lang="en-US" sz="1100"/>
        </a:p>
      </xdr:txBody>
    </xdr:sp>
    <xdr:clientData/>
  </xdr:twoCellAnchor>
  <xdr:oneCellAnchor>
    <xdr:from>
      <xdr:col>1</xdr:col>
      <xdr:colOff>521426</xdr:colOff>
      <xdr:row>16</xdr:row>
      <xdr:rowOff>7620</xdr:rowOff>
    </xdr:from>
    <xdr:ext cx="831850" cy="4381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561A5FA-00D0-4332-BD94-A8819AD427B5}"/>
            </a:ext>
          </a:extLst>
        </xdr:cNvPr>
        <xdr:cNvSpPr txBox="1"/>
      </xdr:nvSpPr>
      <xdr:spPr>
        <a:xfrm>
          <a:off x="1131026" y="3229791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5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3</xdr:col>
      <xdr:colOff>292100</xdr:colOff>
      <xdr:row>15</xdr:row>
      <xdr:rowOff>177800</xdr:rowOff>
    </xdr:from>
    <xdr:ext cx="831850" cy="4381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335FC1C-6EDF-4C01-A1B7-E73783AFF66E}"/>
            </a:ext>
          </a:extLst>
        </xdr:cNvPr>
        <xdr:cNvSpPr txBox="1"/>
      </xdr:nvSpPr>
      <xdr:spPr>
        <a:xfrm>
          <a:off x="2120900" y="31813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6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5</xdr:col>
      <xdr:colOff>95250</xdr:colOff>
      <xdr:row>16</xdr:row>
      <xdr:rowOff>12700</xdr:rowOff>
    </xdr:from>
    <xdr:ext cx="831850" cy="4381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6253039-923D-4763-8C5A-A309E057BD69}"/>
            </a:ext>
          </a:extLst>
        </xdr:cNvPr>
        <xdr:cNvSpPr txBox="1"/>
      </xdr:nvSpPr>
      <xdr:spPr>
        <a:xfrm>
          <a:off x="3143250" y="32004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7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6</xdr:col>
      <xdr:colOff>552450</xdr:colOff>
      <xdr:row>16</xdr:row>
      <xdr:rowOff>25400</xdr:rowOff>
    </xdr:from>
    <xdr:ext cx="831850" cy="4381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9713974-62CA-41B8-AFDA-AF0F845A69CF}"/>
            </a:ext>
          </a:extLst>
        </xdr:cNvPr>
        <xdr:cNvSpPr txBox="1"/>
      </xdr:nvSpPr>
      <xdr:spPr>
        <a:xfrm>
          <a:off x="4210050" y="32131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8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8</xdr:col>
      <xdr:colOff>393700</xdr:colOff>
      <xdr:row>16</xdr:row>
      <xdr:rowOff>12700</xdr:rowOff>
    </xdr:from>
    <xdr:ext cx="831850" cy="43815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19A0F84-B859-4FE3-8572-21891C3F11E7}"/>
            </a:ext>
          </a:extLst>
        </xdr:cNvPr>
        <xdr:cNvSpPr txBox="1"/>
      </xdr:nvSpPr>
      <xdr:spPr>
        <a:xfrm>
          <a:off x="5270500" y="32004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3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10</xdr:col>
      <xdr:colOff>241300</xdr:colOff>
      <xdr:row>16</xdr:row>
      <xdr:rowOff>6350</xdr:rowOff>
    </xdr:from>
    <xdr:ext cx="831850" cy="4381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2618F88-1DF6-4378-B754-3DABE759A706}"/>
            </a:ext>
          </a:extLst>
        </xdr:cNvPr>
        <xdr:cNvSpPr txBox="1"/>
      </xdr:nvSpPr>
      <xdr:spPr>
        <a:xfrm>
          <a:off x="6337300" y="31940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4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12</xdr:col>
      <xdr:colOff>107950</xdr:colOff>
      <xdr:row>16</xdr:row>
      <xdr:rowOff>12700</xdr:rowOff>
    </xdr:from>
    <xdr:ext cx="831850" cy="43815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DA81A62-CDE9-489E-8231-55F310994E95}"/>
            </a:ext>
          </a:extLst>
        </xdr:cNvPr>
        <xdr:cNvSpPr txBox="1"/>
      </xdr:nvSpPr>
      <xdr:spPr>
        <a:xfrm>
          <a:off x="7423150" y="32004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2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13</xdr:col>
      <xdr:colOff>508000</xdr:colOff>
      <xdr:row>16</xdr:row>
      <xdr:rowOff>6350</xdr:rowOff>
    </xdr:from>
    <xdr:ext cx="831850" cy="4381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7ACBB66-D7CD-47AA-9A86-4879236E0B96}"/>
            </a:ext>
          </a:extLst>
        </xdr:cNvPr>
        <xdr:cNvSpPr txBox="1"/>
      </xdr:nvSpPr>
      <xdr:spPr>
        <a:xfrm>
          <a:off x="8432800" y="31940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2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2</xdr:col>
      <xdr:colOff>6350</xdr:colOff>
      <xdr:row>19</xdr:row>
      <xdr:rowOff>59961</xdr:rowOff>
    </xdr:from>
    <xdr:ext cx="647700" cy="74013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2ED53E3-9CB0-42A2-A1C6-558DB841683F}"/>
            </a:ext>
          </a:extLst>
        </xdr:cNvPr>
        <xdr:cNvSpPr txBox="1"/>
      </xdr:nvSpPr>
      <xdr:spPr>
        <a:xfrm>
          <a:off x="1225550" y="3800111"/>
          <a:ext cx="647700" cy="74013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oneCellAnchor>
  <xdr:twoCellAnchor>
    <xdr:from>
      <xdr:col>3</xdr:col>
      <xdr:colOff>381000</xdr:colOff>
      <xdr:row>19</xdr:row>
      <xdr:rowOff>50800</xdr:rowOff>
    </xdr:from>
    <xdr:to>
      <xdr:col>4</xdr:col>
      <xdr:colOff>419100</xdr:colOff>
      <xdr:row>23</xdr:row>
      <xdr:rowOff>44450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FC17892-BB8B-4D37-BE9C-084325ED1ED1}"/>
            </a:ext>
          </a:extLst>
        </xdr:cNvPr>
        <xdr:cNvSpPr txBox="1"/>
      </xdr:nvSpPr>
      <xdr:spPr>
        <a:xfrm>
          <a:off x="2209800" y="379095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5</xdr:col>
      <xdr:colOff>177800</xdr:colOff>
      <xdr:row>19</xdr:row>
      <xdr:rowOff>44450</xdr:rowOff>
    </xdr:from>
    <xdr:to>
      <xdr:col>6</xdr:col>
      <xdr:colOff>215900</xdr:colOff>
      <xdr:row>23</xdr:row>
      <xdr:rowOff>38100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38C7B68-E30D-43C9-AD0A-E7CDA0DD3E81}"/>
            </a:ext>
          </a:extLst>
        </xdr:cNvPr>
        <xdr:cNvSpPr txBox="1"/>
      </xdr:nvSpPr>
      <xdr:spPr>
        <a:xfrm>
          <a:off x="3225800" y="378460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7</xdr:col>
      <xdr:colOff>31750</xdr:colOff>
      <xdr:row>19</xdr:row>
      <xdr:rowOff>44450</xdr:rowOff>
    </xdr:from>
    <xdr:to>
      <xdr:col>8</xdr:col>
      <xdr:colOff>69850</xdr:colOff>
      <xdr:row>23</xdr:row>
      <xdr:rowOff>38100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92F51DF-7D95-4B64-954C-6D22EB129DBB}"/>
            </a:ext>
          </a:extLst>
        </xdr:cNvPr>
        <xdr:cNvSpPr txBox="1"/>
      </xdr:nvSpPr>
      <xdr:spPr>
        <a:xfrm>
          <a:off x="4298950" y="378460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8</xdr:col>
      <xdr:colOff>476250</xdr:colOff>
      <xdr:row>19</xdr:row>
      <xdr:rowOff>44450</xdr:rowOff>
    </xdr:from>
    <xdr:to>
      <xdr:col>9</xdr:col>
      <xdr:colOff>514350</xdr:colOff>
      <xdr:row>23</xdr:row>
      <xdr:rowOff>38100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B8C59AD-A884-47A6-B435-1AA6C4E9631A}"/>
            </a:ext>
          </a:extLst>
        </xdr:cNvPr>
        <xdr:cNvSpPr txBox="1"/>
      </xdr:nvSpPr>
      <xdr:spPr>
        <a:xfrm>
          <a:off x="5353050" y="378460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330200</xdr:colOff>
      <xdr:row>19</xdr:row>
      <xdr:rowOff>44450</xdr:rowOff>
    </xdr:from>
    <xdr:to>
      <xdr:col>11</xdr:col>
      <xdr:colOff>368300</xdr:colOff>
      <xdr:row>23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EC0FADA-DCBA-40ED-A578-0F5974350FA0}"/>
            </a:ext>
          </a:extLst>
        </xdr:cNvPr>
        <xdr:cNvSpPr txBox="1"/>
      </xdr:nvSpPr>
      <xdr:spPr>
        <a:xfrm>
          <a:off x="6426200" y="378460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190500</xdr:colOff>
      <xdr:row>19</xdr:row>
      <xdr:rowOff>44450</xdr:rowOff>
    </xdr:from>
    <xdr:to>
      <xdr:col>13</xdr:col>
      <xdr:colOff>165100</xdr:colOff>
      <xdr:row>23</xdr:row>
      <xdr:rowOff>38100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FF89753-64D1-4A17-9EA7-B015D831BF50}"/>
            </a:ext>
          </a:extLst>
        </xdr:cNvPr>
        <xdr:cNvSpPr txBox="1"/>
      </xdr:nvSpPr>
      <xdr:spPr>
        <a:xfrm>
          <a:off x="7505700" y="3784600"/>
          <a:ext cx="584200" cy="7302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He</a:t>
          </a:r>
        </a:p>
        <a:p>
          <a:endParaRPr lang="en-US" sz="1100"/>
        </a:p>
      </xdr:txBody>
    </xdr:sp>
    <xdr:clientData/>
  </xdr:twoCellAnchor>
  <xdr:twoCellAnchor>
    <xdr:from>
      <xdr:col>13</xdr:col>
      <xdr:colOff>577850</xdr:colOff>
      <xdr:row>19</xdr:row>
      <xdr:rowOff>44450</xdr:rowOff>
    </xdr:from>
    <xdr:to>
      <xdr:col>15</xdr:col>
      <xdr:colOff>6350</xdr:colOff>
      <xdr:row>23</xdr:row>
      <xdr:rowOff>38100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3264E4F-68DF-462C-8F99-B9FFB62C95ED}"/>
            </a:ext>
          </a:extLst>
        </xdr:cNvPr>
        <xdr:cNvSpPr txBox="1"/>
      </xdr:nvSpPr>
      <xdr:spPr>
        <a:xfrm>
          <a:off x="8502650" y="378460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O2</a:t>
          </a:r>
          <a:r>
            <a:rPr lang="th-TH" sz="12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 </a:t>
          </a:r>
          <a:r>
            <a:rPr lang="en-US" sz="10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(100%)</a:t>
          </a:r>
        </a:p>
        <a:p>
          <a:endParaRPr lang="en-US" sz="1100"/>
        </a:p>
      </xdr:txBody>
    </xdr:sp>
    <xdr:clientData/>
  </xdr:twoCellAnchor>
  <xdr:oneCellAnchor>
    <xdr:from>
      <xdr:col>1</xdr:col>
      <xdr:colOff>521426</xdr:colOff>
      <xdr:row>21</xdr:row>
      <xdr:rowOff>30480</xdr:rowOff>
    </xdr:from>
    <xdr:ext cx="831850" cy="43815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D4699B3-68F8-4EC4-9398-4E02408C39E0}"/>
            </a:ext>
          </a:extLst>
        </xdr:cNvPr>
        <xdr:cNvSpPr txBox="1"/>
      </xdr:nvSpPr>
      <xdr:spPr>
        <a:xfrm>
          <a:off x="1131026" y="4177937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9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3</xdr:col>
      <xdr:colOff>292100</xdr:colOff>
      <xdr:row>21</xdr:row>
      <xdr:rowOff>19050</xdr:rowOff>
    </xdr:from>
    <xdr:ext cx="831850" cy="4381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2F9EE62-4789-448A-96F8-2BB33FC5DD64}"/>
            </a:ext>
          </a:extLst>
        </xdr:cNvPr>
        <xdr:cNvSpPr txBox="1"/>
      </xdr:nvSpPr>
      <xdr:spPr>
        <a:xfrm>
          <a:off x="2120900" y="41275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10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5</xdr:col>
      <xdr:colOff>95250</xdr:colOff>
      <xdr:row>21</xdr:row>
      <xdr:rowOff>38100</xdr:rowOff>
    </xdr:from>
    <xdr:ext cx="831850" cy="43815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60BE708-434C-4E6B-B5A4-AF3DC5FB82D6}"/>
            </a:ext>
          </a:extLst>
        </xdr:cNvPr>
        <xdr:cNvSpPr txBox="1"/>
      </xdr:nvSpPr>
      <xdr:spPr>
        <a:xfrm>
          <a:off x="3143250" y="41465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11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6</xdr:col>
      <xdr:colOff>552450</xdr:colOff>
      <xdr:row>21</xdr:row>
      <xdr:rowOff>50800</xdr:rowOff>
    </xdr:from>
    <xdr:ext cx="831850" cy="4381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4659640-AA89-4C7F-9250-DA7E0DFFACE6}"/>
            </a:ext>
          </a:extLst>
        </xdr:cNvPr>
        <xdr:cNvSpPr txBox="1"/>
      </xdr:nvSpPr>
      <xdr:spPr>
        <a:xfrm>
          <a:off x="4210050" y="41592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12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8</xdr:col>
      <xdr:colOff>393700</xdr:colOff>
      <xdr:row>21</xdr:row>
      <xdr:rowOff>38100</xdr:rowOff>
    </xdr:from>
    <xdr:ext cx="831850" cy="4381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D4B6424-0CBF-4398-B13A-81F6CCD6C15E}"/>
            </a:ext>
          </a:extLst>
        </xdr:cNvPr>
        <xdr:cNvSpPr txBox="1"/>
      </xdr:nvSpPr>
      <xdr:spPr>
        <a:xfrm>
          <a:off x="5270500" y="41465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5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10</xdr:col>
      <xdr:colOff>241300</xdr:colOff>
      <xdr:row>21</xdr:row>
      <xdr:rowOff>31750</xdr:rowOff>
    </xdr:from>
    <xdr:ext cx="831850" cy="4381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15507C8-FD18-4F2B-9D0E-8B6E1F4AEDE1}"/>
            </a:ext>
          </a:extLst>
        </xdr:cNvPr>
        <xdr:cNvSpPr txBox="1"/>
      </xdr:nvSpPr>
      <xdr:spPr>
        <a:xfrm>
          <a:off x="6337300" y="41402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6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12</xdr:col>
      <xdr:colOff>107950</xdr:colOff>
      <xdr:row>21</xdr:row>
      <xdr:rowOff>38100</xdr:rowOff>
    </xdr:from>
    <xdr:ext cx="831850" cy="43815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507DC44-341B-47D2-987B-0BE64F65E526}"/>
            </a:ext>
          </a:extLst>
        </xdr:cNvPr>
        <xdr:cNvSpPr txBox="1"/>
      </xdr:nvSpPr>
      <xdr:spPr>
        <a:xfrm>
          <a:off x="7423150" y="41465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3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13</xdr:col>
      <xdr:colOff>508000</xdr:colOff>
      <xdr:row>21</xdr:row>
      <xdr:rowOff>31750</xdr:rowOff>
    </xdr:from>
    <xdr:ext cx="831850" cy="43815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B1CE213-D4D7-4306-BD30-51B5F801FA95}"/>
            </a:ext>
          </a:extLst>
        </xdr:cNvPr>
        <xdr:cNvSpPr txBox="1"/>
      </xdr:nvSpPr>
      <xdr:spPr>
        <a:xfrm>
          <a:off x="8432800" y="41402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8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2</xdr:col>
      <xdr:colOff>6350</xdr:colOff>
      <xdr:row>24</xdr:row>
      <xdr:rowOff>66311</xdr:rowOff>
    </xdr:from>
    <xdr:ext cx="647700" cy="740139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0879E7F-3A92-46EA-BB9F-4F09F4ED43F4}"/>
            </a:ext>
          </a:extLst>
        </xdr:cNvPr>
        <xdr:cNvSpPr txBox="1"/>
      </xdr:nvSpPr>
      <xdr:spPr>
        <a:xfrm>
          <a:off x="1225550" y="4727211"/>
          <a:ext cx="647700" cy="74013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oneCellAnchor>
  <xdr:twoCellAnchor>
    <xdr:from>
      <xdr:col>3</xdr:col>
      <xdr:colOff>381000</xdr:colOff>
      <xdr:row>24</xdr:row>
      <xdr:rowOff>57150</xdr:rowOff>
    </xdr:from>
    <xdr:to>
      <xdr:col>4</xdr:col>
      <xdr:colOff>419100</xdr:colOff>
      <xdr:row>28</xdr:row>
      <xdr:rowOff>50800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DAEB8F0-3A2D-45DD-BF1A-985CD9906B9F}"/>
            </a:ext>
          </a:extLst>
        </xdr:cNvPr>
        <xdr:cNvSpPr txBox="1"/>
      </xdr:nvSpPr>
      <xdr:spPr>
        <a:xfrm>
          <a:off x="2209800" y="471805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5</xdr:col>
      <xdr:colOff>177800</xdr:colOff>
      <xdr:row>24</xdr:row>
      <xdr:rowOff>50800</xdr:rowOff>
    </xdr:from>
    <xdr:to>
      <xdr:col>6</xdr:col>
      <xdr:colOff>215900</xdr:colOff>
      <xdr:row>28</xdr:row>
      <xdr:rowOff>44450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D6BEC5B-FB7D-4896-88E9-D4B7BBF1DA2E}"/>
            </a:ext>
          </a:extLst>
        </xdr:cNvPr>
        <xdr:cNvSpPr txBox="1"/>
      </xdr:nvSpPr>
      <xdr:spPr>
        <a:xfrm>
          <a:off x="3225800" y="471170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7</xdr:col>
      <xdr:colOff>31750</xdr:colOff>
      <xdr:row>24</xdr:row>
      <xdr:rowOff>50800</xdr:rowOff>
    </xdr:from>
    <xdr:to>
      <xdr:col>8</xdr:col>
      <xdr:colOff>69850</xdr:colOff>
      <xdr:row>28</xdr:row>
      <xdr:rowOff>44450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57CEA08-EF9A-4E81-9368-D78BEEAF01F8}"/>
            </a:ext>
          </a:extLst>
        </xdr:cNvPr>
        <xdr:cNvSpPr txBox="1"/>
      </xdr:nvSpPr>
      <xdr:spPr>
        <a:xfrm>
          <a:off x="4298950" y="4711700"/>
          <a:ext cx="647700" cy="730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8</xdr:col>
      <xdr:colOff>476250</xdr:colOff>
      <xdr:row>24</xdr:row>
      <xdr:rowOff>50800</xdr:rowOff>
    </xdr:from>
    <xdr:to>
      <xdr:col>9</xdr:col>
      <xdr:colOff>514350</xdr:colOff>
      <xdr:row>28</xdr:row>
      <xdr:rowOff>44450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D103124-4B9C-45DE-A605-10F67469E412}"/>
            </a:ext>
          </a:extLst>
        </xdr:cNvPr>
        <xdr:cNvSpPr txBox="1"/>
      </xdr:nvSpPr>
      <xdr:spPr>
        <a:xfrm>
          <a:off x="5353050" y="471170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330200</xdr:colOff>
      <xdr:row>24</xdr:row>
      <xdr:rowOff>50800</xdr:rowOff>
    </xdr:from>
    <xdr:to>
      <xdr:col>11</xdr:col>
      <xdr:colOff>368300</xdr:colOff>
      <xdr:row>28</xdr:row>
      <xdr:rowOff>44450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0B06786-F6D0-4061-8AB5-B52EE40A0087}"/>
            </a:ext>
          </a:extLst>
        </xdr:cNvPr>
        <xdr:cNvSpPr txBox="1"/>
      </xdr:nvSpPr>
      <xdr:spPr>
        <a:xfrm>
          <a:off x="6426200" y="471170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190500</xdr:colOff>
      <xdr:row>24</xdr:row>
      <xdr:rowOff>50800</xdr:rowOff>
    </xdr:from>
    <xdr:to>
      <xdr:col>13</xdr:col>
      <xdr:colOff>165100</xdr:colOff>
      <xdr:row>28</xdr:row>
      <xdr:rowOff>44450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ADA49DB-19A3-4EE9-AEA0-2A9805DF6E8D}"/>
            </a:ext>
          </a:extLst>
        </xdr:cNvPr>
        <xdr:cNvSpPr txBox="1"/>
      </xdr:nvSpPr>
      <xdr:spPr>
        <a:xfrm>
          <a:off x="7505700" y="4711700"/>
          <a:ext cx="5842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He</a:t>
          </a:r>
        </a:p>
        <a:p>
          <a:endParaRPr lang="en-US" sz="1100"/>
        </a:p>
      </xdr:txBody>
    </xdr:sp>
    <xdr:clientData/>
  </xdr:twoCellAnchor>
  <xdr:twoCellAnchor>
    <xdr:from>
      <xdr:col>13</xdr:col>
      <xdr:colOff>577850</xdr:colOff>
      <xdr:row>24</xdr:row>
      <xdr:rowOff>50800</xdr:rowOff>
    </xdr:from>
    <xdr:to>
      <xdr:col>15</xdr:col>
      <xdr:colOff>6350</xdr:colOff>
      <xdr:row>28</xdr:row>
      <xdr:rowOff>44450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116594-D214-4281-BA48-7FEC7A9BA4FD}"/>
            </a:ext>
          </a:extLst>
        </xdr:cNvPr>
        <xdr:cNvSpPr txBox="1"/>
      </xdr:nvSpPr>
      <xdr:spPr>
        <a:xfrm>
          <a:off x="8502650" y="471170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O2</a:t>
          </a:r>
          <a:r>
            <a:rPr lang="th-TH" sz="12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 </a:t>
          </a:r>
          <a:r>
            <a:rPr lang="en-US" sz="10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(100%)</a:t>
          </a:r>
        </a:p>
        <a:p>
          <a:endParaRPr lang="en-US" sz="1100"/>
        </a:p>
      </xdr:txBody>
    </xdr:sp>
    <xdr:clientData/>
  </xdr:twoCellAnchor>
  <xdr:oneCellAnchor>
    <xdr:from>
      <xdr:col>1</xdr:col>
      <xdr:colOff>521426</xdr:colOff>
      <xdr:row>26</xdr:row>
      <xdr:rowOff>38100</xdr:rowOff>
    </xdr:from>
    <xdr:ext cx="831850" cy="43815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EA850C8-3850-4BFC-995D-A04B57E488D9}"/>
            </a:ext>
          </a:extLst>
        </xdr:cNvPr>
        <xdr:cNvSpPr txBox="1"/>
      </xdr:nvSpPr>
      <xdr:spPr>
        <a:xfrm>
          <a:off x="1131026" y="5110843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13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3</xdr:col>
      <xdr:colOff>292100</xdr:colOff>
      <xdr:row>26</xdr:row>
      <xdr:rowOff>25400</xdr:rowOff>
    </xdr:from>
    <xdr:ext cx="831850" cy="43815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AD9F418-6C3A-4AC7-8B24-F7EE9AEE024E}"/>
            </a:ext>
          </a:extLst>
        </xdr:cNvPr>
        <xdr:cNvSpPr txBox="1"/>
      </xdr:nvSpPr>
      <xdr:spPr>
        <a:xfrm>
          <a:off x="2120900" y="50546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14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5</xdr:col>
      <xdr:colOff>95250</xdr:colOff>
      <xdr:row>26</xdr:row>
      <xdr:rowOff>44450</xdr:rowOff>
    </xdr:from>
    <xdr:ext cx="831850" cy="43815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2105952-71E6-44BC-B067-A84DDE262065}"/>
            </a:ext>
          </a:extLst>
        </xdr:cNvPr>
        <xdr:cNvSpPr txBox="1"/>
      </xdr:nvSpPr>
      <xdr:spPr>
        <a:xfrm>
          <a:off x="3143250" y="50736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15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6</xdr:col>
      <xdr:colOff>552450</xdr:colOff>
      <xdr:row>26</xdr:row>
      <xdr:rowOff>57150</xdr:rowOff>
    </xdr:from>
    <xdr:ext cx="831850" cy="43815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C4B7283-EB19-46B9-ADD9-B8C5E94B9571}"/>
            </a:ext>
          </a:extLst>
        </xdr:cNvPr>
        <xdr:cNvSpPr txBox="1"/>
      </xdr:nvSpPr>
      <xdr:spPr>
        <a:xfrm>
          <a:off x="4210050" y="50863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16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8</xdr:col>
      <xdr:colOff>393700</xdr:colOff>
      <xdr:row>26</xdr:row>
      <xdr:rowOff>44450</xdr:rowOff>
    </xdr:from>
    <xdr:ext cx="831850" cy="43815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857D50E-E836-49BF-8BDE-879578D0E024}"/>
            </a:ext>
          </a:extLst>
        </xdr:cNvPr>
        <xdr:cNvSpPr txBox="1"/>
      </xdr:nvSpPr>
      <xdr:spPr>
        <a:xfrm>
          <a:off x="5270500" y="50736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7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10</xdr:col>
      <xdr:colOff>241300</xdr:colOff>
      <xdr:row>26</xdr:row>
      <xdr:rowOff>38100</xdr:rowOff>
    </xdr:from>
    <xdr:ext cx="831850" cy="43815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ADBF023-E89B-4E37-9390-D95CE05ACF4F}"/>
            </a:ext>
          </a:extLst>
        </xdr:cNvPr>
        <xdr:cNvSpPr txBox="1"/>
      </xdr:nvSpPr>
      <xdr:spPr>
        <a:xfrm>
          <a:off x="6337300" y="50673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8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12</xdr:col>
      <xdr:colOff>107950</xdr:colOff>
      <xdr:row>26</xdr:row>
      <xdr:rowOff>44450</xdr:rowOff>
    </xdr:from>
    <xdr:ext cx="831850" cy="43815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A0E48A1-D52C-45E9-8E8D-19F108B900D8}"/>
            </a:ext>
          </a:extLst>
        </xdr:cNvPr>
        <xdr:cNvSpPr txBox="1"/>
      </xdr:nvSpPr>
      <xdr:spPr>
        <a:xfrm>
          <a:off x="7423150" y="50736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7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13</xdr:col>
      <xdr:colOff>508000</xdr:colOff>
      <xdr:row>26</xdr:row>
      <xdr:rowOff>38100</xdr:rowOff>
    </xdr:from>
    <xdr:ext cx="831850" cy="43815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A6865E3C-90D5-497B-921E-EE2623B6D93F}"/>
            </a:ext>
          </a:extLst>
        </xdr:cNvPr>
        <xdr:cNvSpPr txBox="1"/>
      </xdr:nvSpPr>
      <xdr:spPr>
        <a:xfrm>
          <a:off x="8432800" y="50673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8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2</xdr:col>
      <xdr:colOff>6350</xdr:colOff>
      <xdr:row>29</xdr:row>
      <xdr:rowOff>85361</xdr:rowOff>
    </xdr:from>
    <xdr:ext cx="647700" cy="740139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FA8376A-19E4-499B-BB71-04C0C332B306}"/>
            </a:ext>
          </a:extLst>
        </xdr:cNvPr>
        <xdr:cNvSpPr txBox="1"/>
      </xdr:nvSpPr>
      <xdr:spPr>
        <a:xfrm>
          <a:off x="1225550" y="5667011"/>
          <a:ext cx="647700" cy="74013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oneCellAnchor>
  <xdr:twoCellAnchor>
    <xdr:from>
      <xdr:col>3</xdr:col>
      <xdr:colOff>381000</xdr:colOff>
      <xdr:row>29</xdr:row>
      <xdr:rowOff>76200</xdr:rowOff>
    </xdr:from>
    <xdr:to>
      <xdr:col>4</xdr:col>
      <xdr:colOff>419100</xdr:colOff>
      <xdr:row>33</xdr:row>
      <xdr:rowOff>63500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AF7A069-2658-4DE9-A2D7-930E50F8F023}"/>
            </a:ext>
          </a:extLst>
        </xdr:cNvPr>
        <xdr:cNvSpPr txBox="1"/>
      </xdr:nvSpPr>
      <xdr:spPr>
        <a:xfrm>
          <a:off x="2209800" y="5657850"/>
          <a:ext cx="647700" cy="7239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5</xdr:col>
      <xdr:colOff>177800</xdr:colOff>
      <xdr:row>29</xdr:row>
      <xdr:rowOff>69850</xdr:rowOff>
    </xdr:from>
    <xdr:to>
      <xdr:col>6</xdr:col>
      <xdr:colOff>215900</xdr:colOff>
      <xdr:row>33</xdr:row>
      <xdr:rowOff>57150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7BB32EB-5253-44DE-8C64-B2EDFED9D375}"/>
            </a:ext>
          </a:extLst>
        </xdr:cNvPr>
        <xdr:cNvSpPr txBox="1"/>
      </xdr:nvSpPr>
      <xdr:spPr>
        <a:xfrm>
          <a:off x="3225800" y="5651500"/>
          <a:ext cx="647700" cy="7239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7</xdr:col>
      <xdr:colOff>31750</xdr:colOff>
      <xdr:row>29</xdr:row>
      <xdr:rowOff>69850</xdr:rowOff>
    </xdr:from>
    <xdr:to>
      <xdr:col>8</xdr:col>
      <xdr:colOff>69850</xdr:colOff>
      <xdr:row>33</xdr:row>
      <xdr:rowOff>57150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F2694E2-3C4C-4925-8CA8-2BF9BA8FACD7}"/>
            </a:ext>
          </a:extLst>
        </xdr:cNvPr>
        <xdr:cNvSpPr txBox="1"/>
      </xdr:nvSpPr>
      <xdr:spPr>
        <a:xfrm>
          <a:off x="4298950" y="5651500"/>
          <a:ext cx="647700" cy="7239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8</xdr:col>
      <xdr:colOff>476250</xdr:colOff>
      <xdr:row>29</xdr:row>
      <xdr:rowOff>69850</xdr:rowOff>
    </xdr:from>
    <xdr:to>
      <xdr:col>9</xdr:col>
      <xdr:colOff>514350</xdr:colOff>
      <xdr:row>33</xdr:row>
      <xdr:rowOff>57150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513BC79-E540-44C4-9CFA-5039DDEF677B}"/>
            </a:ext>
          </a:extLst>
        </xdr:cNvPr>
        <xdr:cNvSpPr txBox="1"/>
      </xdr:nvSpPr>
      <xdr:spPr>
        <a:xfrm>
          <a:off x="5353050" y="5651500"/>
          <a:ext cx="647700" cy="72390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330200</xdr:colOff>
      <xdr:row>29</xdr:row>
      <xdr:rowOff>69850</xdr:rowOff>
    </xdr:from>
    <xdr:to>
      <xdr:col>11</xdr:col>
      <xdr:colOff>368300</xdr:colOff>
      <xdr:row>33</xdr:row>
      <xdr:rowOff>57150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CC1EEED-736B-47F2-9E9D-79E5AEBCA7B8}"/>
            </a:ext>
          </a:extLst>
        </xdr:cNvPr>
        <xdr:cNvSpPr txBox="1"/>
      </xdr:nvSpPr>
      <xdr:spPr>
        <a:xfrm>
          <a:off x="6426200" y="5651500"/>
          <a:ext cx="647700" cy="72390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190500</xdr:colOff>
      <xdr:row>29</xdr:row>
      <xdr:rowOff>69850</xdr:rowOff>
    </xdr:from>
    <xdr:to>
      <xdr:col>13</xdr:col>
      <xdr:colOff>165100</xdr:colOff>
      <xdr:row>33</xdr:row>
      <xdr:rowOff>57150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DA7D698-5E53-4E54-A137-83725AA48949}"/>
            </a:ext>
          </a:extLst>
        </xdr:cNvPr>
        <xdr:cNvSpPr txBox="1"/>
      </xdr:nvSpPr>
      <xdr:spPr>
        <a:xfrm>
          <a:off x="7505700" y="5651500"/>
          <a:ext cx="584200" cy="7239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He</a:t>
          </a:r>
        </a:p>
        <a:p>
          <a:endParaRPr lang="en-US" sz="1100"/>
        </a:p>
      </xdr:txBody>
    </xdr:sp>
    <xdr:clientData/>
  </xdr:twoCellAnchor>
  <xdr:twoCellAnchor>
    <xdr:from>
      <xdr:col>13</xdr:col>
      <xdr:colOff>577850</xdr:colOff>
      <xdr:row>29</xdr:row>
      <xdr:rowOff>69850</xdr:rowOff>
    </xdr:from>
    <xdr:to>
      <xdr:col>15</xdr:col>
      <xdr:colOff>6350</xdr:colOff>
      <xdr:row>33</xdr:row>
      <xdr:rowOff>57150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E0653F4-D615-4622-AAB7-FFE0820555D3}"/>
            </a:ext>
          </a:extLst>
        </xdr:cNvPr>
        <xdr:cNvSpPr txBox="1"/>
      </xdr:nvSpPr>
      <xdr:spPr>
        <a:xfrm>
          <a:off x="8502650" y="5651500"/>
          <a:ext cx="647700" cy="7239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O2</a:t>
          </a:r>
          <a:r>
            <a:rPr lang="th-TH" sz="12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 </a:t>
          </a:r>
          <a:r>
            <a:rPr lang="en-US" sz="10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(100%)</a:t>
          </a:r>
        </a:p>
        <a:p>
          <a:endParaRPr lang="en-US" sz="1100"/>
        </a:p>
      </xdr:txBody>
    </xdr:sp>
    <xdr:clientData/>
  </xdr:twoCellAnchor>
  <xdr:oneCellAnchor>
    <xdr:from>
      <xdr:col>1</xdr:col>
      <xdr:colOff>521426</xdr:colOff>
      <xdr:row>31</xdr:row>
      <xdr:rowOff>60960</xdr:rowOff>
    </xdr:from>
    <xdr:ext cx="831850" cy="4381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50251AC-87E8-445A-BE56-DCB3EEBD99F9}"/>
            </a:ext>
          </a:extLst>
        </xdr:cNvPr>
        <xdr:cNvSpPr txBox="1"/>
      </xdr:nvSpPr>
      <xdr:spPr>
        <a:xfrm>
          <a:off x="1131026" y="6058989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17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3</xdr:col>
      <xdr:colOff>292100</xdr:colOff>
      <xdr:row>31</xdr:row>
      <xdr:rowOff>44450</xdr:rowOff>
    </xdr:from>
    <xdr:ext cx="831850" cy="43815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1614892-2E85-4A98-A52C-DFAC6E2C9F5D}"/>
            </a:ext>
          </a:extLst>
        </xdr:cNvPr>
        <xdr:cNvSpPr txBox="1"/>
      </xdr:nvSpPr>
      <xdr:spPr>
        <a:xfrm>
          <a:off x="2120900" y="59944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18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5</xdr:col>
      <xdr:colOff>95250</xdr:colOff>
      <xdr:row>31</xdr:row>
      <xdr:rowOff>63500</xdr:rowOff>
    </xdr:from>
    <xdr:ext cx="831850" cy="43815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0F83EFE-84B0-4390-B3FE-A5B04155ABC4}"/>
            </a:ext>
          </a:extLst>
        </xdr:cNvPr>
        <xdr:cNvSpPr txBox="1"/>
      </xdr:nvSpPr>
      <xdr:spPr>
        <a:xfrm>
          <a:off x="3143250" y="60134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19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6</xdr:col>
      <xdr:colOff>552450</xdr:colOff>
      <xdr:row>31</xdr:row>
      <xdr:rowOff>76200</xdr:rowOff>
    </xdr:from>
    <xdr:ext cx="831850" cy="43815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3EE06A6-00CF-4071-A81F-E85D3D71DE77}"/>
            </a:ext>
          </a:extLst>
        </xdr:cNvPr>
        <xdr:cNvSpPr txBox="1"/>
      </xdr:nvSpPr>
      <xdr:spPr>
        <a:xfrm>
          <a:off x="4210050" y="60261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endParaRPr lang="en-US" sz="900">
            <a:solidFill>
              <a:srgbClr val="FFFF00"/>
            </a:solidFill>
          </a:endParaRP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endParaRPr lang="th-TH" sz="900" baseline="0">
            <a:solidFill>
              <a:srgbClr val="FFFF00"/>
            </a:solidFill>
          </a:endParaRP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8</xdr:col>
      <xdr:colOff>393700</xdr:colOff>
      <xdr:row>31</xdr:row>
      <xdr:rowOff>63500</xdr:rowOff>
    </xdr:from>
    <xdr:ext cx="831850" cy="43815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40171EB-A77C-4362-8ABC-27A3F2976D38}"/>
            </a:ext>
          </a:extLst>
        </xdr:cNvPr>
        <xdr:cNvSpPr txBox="1"/>
      </xdr:nvSpPr>
      <xdr:spPr>
        <a:xfrm>
          <a:off x="5270500" y="60134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9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10</xdr:col>
      <xdr:colOff>241300</xdr:colOff>
      <xdr:row>31</xdr:row>
      <xdr:rowOff>57150</xdr:rowOff>
    </xdr:from>
    <xdr:ext cx="831850" cy="43815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5F50133-1032-448E-8EC1-DA16510FF353}"/>
            </a:ext>
          </a:extLst>
        </xdr:cNvPr>
        <xdr:cNvSpPr txBox="1"/>
      </xdr:nvSpPr>
      <xdr:spPr>
        <a:xfrm>
          <a:off x="6337300" y="60071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10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12</xdr:col>
      <xdr:colOff>107950</xdr:colOff>
      <xdr:row>31</xdr:row>
      <xdr:rowOff>63500</xdr:rowOff>
    </xdr:from>
    <xdr:ext cx="831850" cy="43815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A6FA0E3-6A65-470D-BD5A-2ACE844B3720}"/>
            </a:ext>
          </a:extLst>
        </xdr:cNvPr>
        <xdr:cNvSpPr txBox="1"/>
      </xdr:nvSpPr>
      <xdr:spPr>
        <a:xfrm>
          <a:off x="7423150" y="60134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7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13</xdr:col>
      <xdr:colOff>508000</xdr:colOff>
      <xdr:row>31</xdr:row>
      <xdr:rowOff>57150</xdr:rowOff>
    </xdr:from>
    <xdr:ext cx="831850" cy="43815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91EF00D-9E41-4DC9-8CA3-46FE7D0AC760}"/>
            </a:ext>
          </a:extLst>
        </xdr:cNvPr>
        <xdr:cNvSpPr txBox="1"/>
      </xdr:nvSpPr>
      <xdr:spPr>
        <a:xfrm>
          <a:off x="8432800" y="60071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8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2</xdr:col>
      <xdr:colOff>6350</xdr:colOff>
      <xdr:row>34</xdr:row>
      <xdr:rowOff>123461</xdr:rowOff>
    </xdr:from>
    <xdr:ext cx="647700" cy="740139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AF09860-54E5-4B3D-8B4F-AA9E164F2A92}"/>
            </a:ext>
          </a:extLst>
        </xdr:cNvPr>
        <xdr:cNvSpPr txBox="1"/>
      </xdr:nvSpPr>
      <xdr:spPr>
        <a:xfrm>
          <a:off x="1225550" y="6625861"/>
          <a:ext cx="647700" cy="74013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oneCellAnchor>
  <xdr:twoCellAnchor>
    <xdr:from>
      <xdr:col>3</xdr:col>
      <xdr:colOff>381000</xdr:colOff>
      <xdr:row>34</xdr:row>
      <xdr:rowOff>114300</xdr:rowOff>
    </xdr:from>
    <xdr:to>
      <xdr:col>4</xdr:col>
      <xdr:colOff>419100</xdr:colOff>
      <xdr:row>38</xdr:row>
      <xdr:rowOff>107950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0A51D47-624A-4E5C-A74C-ABB969F83B8C}"/>
            </a:ext>
          </a:extLst>
        </xdr:cNvPr>
        <xdr:cNvSpPr txBox="1"/>
      </xdr:nvSpPr>
      <xdr:spPr>
        <a:xfrm>
          <a:off x="2209800" y="661670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5</xdr:col>
      <xdr:colOff>177800</xdr:colOff>
      <xdr:row>34</xdr:row>
      <xdr:rowOff>107950</xdr:rowOff>
    </xdr:from>
    <xdr:to>
      <xdr:col>6</xdr:col>
      <xdr:colOff>215900</xdr:colOff>
      <xdr:row>38</xdr:row>
      <xdr:rowOff>101600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F77BFF7-62E4-43E2-A817-DF8B20C88623}"/>
            </a:ext>
          </a:extLst>
        </xdr:cNvPr>
        <xdr:cNvSpPr txBox="1"/>
      </xdr:nvSpPr>
      <xdr:spPr>
        <a:xfrm>
          <a:off x="3225800" y="661035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7</xdr:col>
      <xdr:colOff>31750</xdr:colOff>
      <xdr:row>34</xdr:row>
      <xdr:rowOff>107950</xdr:rowOff>
    </xdr:from>
    <xdr:to>
      <xdr:col>8</xdr:col>
      <xdr:colOff>69850</xdr:colOff>
      <xdr:row>38</xdr:row>
      <xdr:rowOff>101600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BB17A2D-2C7E-4237-9082-127675EB8C2F}"/>
            </a:ext>
          </a:extLst>
        </xdr:cNvPr>
        <xdr:cNvSpPr txBox="1"/>
      </xdr:nvSpPr>
      <xdr:spPr>
        <a:xfrm>
          <a:off x="4298950" y="661035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8</xdr:col>
      <xdr:colOff>476250</xdr:colOff>
      <xdr:row>34</xdr:row>
      <xdr:rowOff>107950</xdr:rowOff>
    </xdr:from>
    <xdr:to>
      <xdr:col>9</xdr:col>
      <xdr:colOff>514350</xdr:colOff>
      <xdr:row>38</xdr:row>
      <xdr:rowOff>101600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6FCB69C7-C838-419A-AAF2-9DCCC344D5F9}"/>
            </a:ext>
          </a:extLst>
        </xdr:cNvPr>
        <xdr:cNvSpPr txBox="1"/>
      </xdr:nvSpPr>
      <xdr:spPr>
        <a:xfrm>
          <a:off x="5353050" y="661035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330200</xdr:colOff>
      <xdr:row>34</xdr:row>
      <xdr:rowOff>107950</xdr:rowOff>
    </xdr:from>
    <xdr:to>
      <xdr:col>11</xdr:col>
      <xdr:colOff>368300</xdr:colOff>
      <xdr:row>38</xdr:row>
      <xdr:rowOff>101600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AE998FC0-2FBA-4F9E-A566-FA3AAD7330E6}"/>
            </a:ext>
          </a:extLst>
        </xdr:cNvPr>
        <xdr:cNvSpPr txBox="1"/>
      </xdr:nvSpPr>
      <xdr:spPr>
        <a:xfrm>
          <a:off x="6426200" y="661035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190500</xdr:colOff>
      <xdr:row>34</xdr:row>
      <xdr:rowOff>107950</xdr:rowOff>
    </xdr:from>
    <xdr:to>
      <xdr:col>13</xdr:col>
      <xdr:colOff>165100</xdr:colOff>
      <xdr:row>38</xdr:row>
      <xdr:rowOff>101600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D51EB53-99EF-4360-A4E3-5F2E81987805}"/>
            </a:ext>
          </a:extLst>
        </xdr:cNvPr>
        <xdr:cNvSpPr txBox="1"/>
      </xdr:nvSpPr>
      <xdr:spPr>
        <a:xfrm>
          <a:off x="7505700" y="6610350"/>
          <a:ext cx="5842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He</a:t>
          </a:r>
        </a:p>
        <a:p>
          <a:endParaRPr lang="en-US" sz="1100"/>
        </a:p>
      </xdr:txBody>
    </xdr:sp>
    <xdr:clientData/>
  </xdr:twoCellAnchor>
  <xdr:twoCellAnchor>
    <xdr:from>
      <xdr:col>13</xdr:col>
      <xdr:colOff>577850</xdr:colOff>
      <xdr:row>34</xdr:row>
      <xdr:rowOff>107950</xdr:rowOff>
    </xdr:from>
    <xdr:to>
      <xdr:col>15</xdr:col>
      <xdr:colOff>6350</xdr:colOff>
      <xdr:row>38</xdr:row>
      <xdr:rowOff>101600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E878906-B121-414A-94DB-5DEF31F26A57}"/>
            </a:ext>
          </a:extLst>
        </xdr:cNvPr>
        <xdr:cNvSpPr txBox="1"/>
      </xdr:nvSpPr>
      <xdr:spPr>
        <a:xfrm>
          <a:off x="8502650" y="661035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O2</a:t>
          </a:r>
          <a:r>
            <a:rPr lang="th-TH" sz="12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 </a:t>
          </a:r>
          <a:r>
            <a:rPr lang="en-US" sz="10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(100%)</a:t>
          </a:r>
        </a:p>
        <a:p>
          <a:endParaRPr lang="en-US" sz="1100"/>
        </a:p>
      </xdr:txBody>
    </xdr:sp>
    <xdr:clientData/>
  </xdr:twoCellAnchor>
  <xdr:oneCellAnchor>
    <xdr:from>
      <xdr:col>1</xdr:col>
      <xdr:colOff>521426</xdr:colOff>
      <xdr:row>36</xdr:row>
      <xdr:rowOff>99060</xdr:rowOff>
    </xdr:from>
    <xdr:ext cx="831850" cy="43815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1676786-9821-4FF7-98AA-3CC9E83B7B43}"/>
            </a:ext>
          </a:extLst>
        </xdr:cNvPr>
        <xdr:cNvSpPr txBox="1"/>
      </xdr:nvSpPr>
      <xdr:spPr>
        <a:xfrm>
          <a:off x="1131026" y="7022374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3</xdr:col>
      <xdr:colOff>292100</xdr:colOff>
      <xdr:row>36</xdr:row>
      <xdr:rowOff>82550</xdr:rowOff>
    </xdr:from>
    <xdr:ext cx="831850" cy="43815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188600C-F1ED-446F-A40B-7D4DE0978723}"/>
            </a:ext>
          </a:extLst>
        </xdr:cNvPr>
        <xdr:cNvSpPr txBox="1"/>
      </xdr:nvSpPr>
      <xdr:spPr>
        <a:xfrm>
          <a:off x="2120900" y="69532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2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5</xdr:col>
      <xdr:colOff>95250</xdr:colOff>
      <xdr:row>36</xdr:row>
      <xdr:rowOff>101600</xdr:rowOff>
    </xdr:from>
    <xdr:ext cx="831850" cy="43815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5F1BAE2-C51F-4EE4-A855-FD07DDE03D2D}"/>
            </a:ext>
          </a:extLst>
        </xdr:cNvPr>
        <xdr:cNvSpPr txBox="1"/>
      </xdr:nvSpPr>
      <xdr:spPr>
        <a:xfrm>
          <a:off x="3143250" y="69723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3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6</xdr:col>
      <xdr:colOff>552450</xdr:colOff>
      <xdr:row>36</xdr:row>
      <xdr:rowOff>114300</xdr:rowOff>
    </xdr:from>
    <xdr:ext cx="831850" cy="43815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04B6038-35A2-4E8C-96D5-9B0DAB94D341}"/>
            </a:ext>
          </a:extLst>
        </xdr:cNvPr>
        <xdr:cNvSpPr txBox="1"/>
      </xdr:nvSpPr>
      <xdr:spPr>
        <a:xfrm>
          <a:off x="4210050" y="69850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4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8</xdr:col>
      <xdr:colOff>393700</xdr:colOff>
      <xdr:row>36</xdr:row>
      <xdr:rowOff>101600</xdr:rowOff>
    </xdr:from>
    <xdr:ext cx="831850" cy="43815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664FD30-FCC9-418A-9328-7E2D69A182FD}"/>
            </a:ext>
          </a:extLst>
        </xdr:cNvPr>
        <xdr:cNvSpPr txBox="1"/>
      </xdr:nvSpPr>
      <xdr:spPr>
        <a:xfrm>
          <a:off x="5270500" y="69723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11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10</xdr:col>
      <xdr:colOff>241300</xdr:colOff>
      <xdr:row>36</xdr:row>
      <xdr:rowOff>95250</xdr:rowOff>
    </xdr:from>
    <xdr:ext cx="831850" cy="43815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8016E87-CDC2-4D16-845E-32B041A7E129}"/>
            </a:ext>
          </a:extLst>
        </xdr:cNvPr>
        <xdr:cNvSpPr txBox="1"/>
      </xdr:nvSpPr>
      <xdr:spPr>
        <a:xfrm>
          <a:off x="6337300" y="69659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</a:t>
          </a:r>
          <a:r>
            <a:rPr lang="en-US" sz="900">
              <a:solidFill>
                <a:srgbClr val="FFFF00"/>
              </a:solidFill>
            </a:rPr>
            <a:t> 12</a:t>
          </a:r>
          <a:r>
            <a:rPr lang="th-TH" sz="900">
              <a:solidFill>
                <a:srgbClr val="FFFF00"/>
              </a:solidFill>
            </a:rPr>
            <a:t> </a:t>
          </a:r>
          <a:endParaRPr lang="en-US" sz="900">
            <a:solidFill>
              <a:srgbClr val="FFFF00"/>
            </a:solidFill>
          </a:endParaRP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12</xdr:col>
      <xdr:colOff>107950</xdr:colOff>
      <xdr:row>36</xdr:row>
      <xdr:rowOff>101600</xdr:rowOff>
    </xdr:from>
    <xdr:ext cx="831850" cy="43815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530089A-3619-486E-87D4-87B00B00BFA1}"/>
            </a:ext>
          </a:extLst>
        </xdr:cNvPr>
        <xdr:cNvSpPr txBox="1"/>
      </xdr:nvSpPr>
      <xdr:spPr>
        <a:xfrm>
          <a:off x="7423150" y="69723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7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13</xdr:col>
      <xdr:colOff>508000</xdr:colOff>
      <xdr:row>36</xdr:row>
      <xdr:rowOff>95250</xdr:rowOff>
    </xdr:from>
    <xdr:ext cx="831850" cy="43815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8A4E430-9391-44CC-8F7E-EE0E7581C216}"/>
            </a:ext>
          </a:extLst>
        </xdr:cNvPr>
        <xdr:cNvSpPr txBox="1"/>
      </xdr:nvSpPr>
      <xdr:spPr>
        <a:xfrm>
          <a:off x="8432800" y="69659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8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2</xdr:col>
      <xdr:colOff>6350</xdr:colOff>
      <xdr:row>39</xdr:row>
      <xdr:rowOff>180611</xdr:rowOff>
    </xdr:from>
    <xdr:ext cx="647700" cy="740139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4EA9827-BC1E-4C7F-BB58-BDBAE3F9CF20}"/>
            </a:ext>
          </a:extLst>
        </xdr:cNvPr>
        <xdr:cNvSpPr txBox="1"/>
      </xdr:nvSpPr>
      <xdr:spPr>
        <a:xfrm>
          <a:off x="1225550" y="7603761"/>
          <a:ext cx="647700" cy="74013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oneCellAnchor>
  <xdr:twoCellAnchor>
    <xdr:from>
      <xdr:col>3</xdr:col>
      <xdr:colOff>381000</xdr:colOff>
      <xdr:row>39</xdr:row>
      <xdr:rowOff>171450</xdr:rowOff>
    </xdr:from>
    <xdr:to>
      <xdr:col>4</xdr:col>
      <xdr:colOff>419100</xdr:colOff>
      <xdr:row>43</xdr:row>
      <xdr:rowOff>165100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38D27DDE-FD91-409E-81E8-6224365F3652}"/>
            </a:ext>
          </a:extLst>
        </xdr:cNvPr>
        <xdr:cNvSpPr txBox="1"/>
      </xdr:nvSpPr>
      <xdr:spPr>
        <a:xfrm>
          <a:off x="2209800" y="759460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5</xdr:col>
      <xdr:colOff>177800</xdr:colOff>
      <xdr:row>39</xdr:row>
      <xdr:rowOff>165100</xdr:rowOff>
    </xdr:from>
    <xdr:to>
      <xdr:col>6</xdr:col>
      <xdr:colOff>215900</xdr:colOff>
      <xdr:row>43</xdr:row>
      <xdr:rowOff>158750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2DB2621-32C6-4FDF-819A-0B44CFD2E2EA}"/>
            </a:ext>
          </a:extLst>
        </xdr:cNvPr>
        <xdr:cNvSpPr txBox="1"/>
      </xdr:nvSpPr>
      <xdr:spPr>
        <a:xfrm>
          <a:off x="3225800" y="758825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7</xdr:col>
      <xdr:colOff>31750</xdr:colOff>
      <xdr:row>39</xdr:row>
      <xdr:rowOff>165100</xdr:rowOff>
    </xdr:from>
    <xdr:to>
      <xdr:col>8</xdr:col>
      <xdr:colOff>69850</xdr:colOff>
      <xdr:row>43</xdr:row>
      <xdr:rowOff>158750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FBAEC52-4E2B-4EBF-9AD1-D2C811F36EE3}"/>
            </a:ext>
          </a:extLst>
        </xdr:cNvPr>
        <xdr:cNvSpPr txBox="1"/>
      </xdr:nvSpPr>
      <xdr:spPr>
        <a:xfrm>
          <a:off x="4298950" y="758825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O2</a:t>
          </a:r>
        </a:p>
        <a:p>
          <a:endParaRPr lang="en-US" sz="1100"/>
        </a:p>
      </xdr:txBody>
    </xdr:sp>
    <xdr:clientData/>
  </xdr:twoCellAnchor>
  <xdr:twoCellAnchor>
    <xdr:from>
      <xdr:col>8</xdr:col>
      <xdr:colOff>476250</xdr:colOff>
      <xdr:row>39</xdr:row>
      <xdr:rowOff>165100</xdr:rowOff>
    </xdr:from>
    <xdr:to>
      <xdr:col>9</xdr:col>
      <xdr:colOff>514350</xdr:colOff>
      <xdr:row>43</xdr:row>
      <xdr:rowOff>158750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8E7893D0-E994-4868-9664-91708CE37698}"/>
            </a:ext>
          </a:extLst>
        </xdr:cNvPr>
        <xdr:cNvSpPr txBox="1"/>
      </xdr:nvSpPr>
      <xdr:spPr>
        <a:xfrm>
          <a:off x="5353050" y="758825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330200</xdr:colOff>
      <xdr:row>39</xdr:row>
      <xdr:rowOff>165100</xdr:rowOff>
    </xdr:from>
    <xdr:to>
      <xdr:col>11</xdr:col>
      <xdr:colOff>368300</xdr:colOff>
      <xdr:row>43</xdr:row>
      <xdr:rowOff>158750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0CEA822-D970-41C0-9B18-ACA22F20D228}"/>
            </a:ext>
          </a:extLst>
        </xdr:cNvPr>
        <xdr:cNvSpPr txBox="1"/>
      </xdr:nvSpPr>
      <xdr:spPr>
        <a:xfrm>
          <a:off x="6426200" y="7588250"/>
          <a:ext cx="647700" cy="7302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N2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190500</xdr:colOff>
      <xdr:row>39</xdr:row>
      <xdr:rowOff>165100</xdr:rowOff>
    </xdr:from>
    <xdr:to>
      <xdr:col>13</xdr:col>
      <xdr:colOff>165100</xdr:colOff>
      <xdr:row>43</xdr:row>
      <xdr:rowOff>158750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6E93563-C95A-4E04-9F1B-13DDB61BC22C}"/>
            </a:ext>
          </a:extLst>
        </xdr:cNvPr>
        <xdr:cNvSpPr txBox="1"/>
      </xdr:nvSpPr>
      <xdr:spPr>
        <a:xfrm>
          <a:off x="7505700" y="7588250"/>
          <a:ext cx="5842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He</a:t>
          </a:r>
        </a:p>
        <a:p>
          <a:endParaRPr lang="en-US" sz="1100"/>
        </a:p>
      </xdr:txBody>
    </xdr:sp>
    <xdr:clientData/>
  </xdr:twoCellAnchor>
  <xdr:twoCellAnchor>
    <xdr:from>
      <xdr:col>13</xdr:col>
      <xdr:colOff>577850</xdr:colOff>
      <xdr:row>39</xdr:row>
      <xdr:rowOff>165100</xdr:rowOff>
    </xdr:from>
    <xdr:to>
      <xdr:col>15</xdr:col>
      <xdr:colOff>6350</xdr:colOff>
      <xdr:row>43</xdr:row>
      <xdr:rowOff>158750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31EFC0D3-3C5B-45B5-A2FA-5AD0E8060C6C}"/>
            </a:ext>
          </a:extLst>
        </xdr:cNvPr>
        <xdr:cNvSpPr txBox="1"/>
      </xdr:nvSpPr>
      <xdr:spPr>
        <a:xfrm>
          <a:off x="8502650" y="7588250"/>
          <a:ext cx="647700" cy="730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O2</a:t>
          </a:r>
          <a:r>
            <a:rPr lang="th-TH" sz="12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 </a:t>
          </a:r>
          <a:r>
            <a:rPr lang="en-US" sz="1000" b="1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(100%)</a:t>
          </a:r>
        </a:p>
        <a:p>
          <a:endParaRPr lang="en-US" sz="1100"/>
        </a:p>
      </xdr:txBody>
    </xdr:sp>
    <xdr:clientData/>
  </xdr:twoCellAnchor>
  <xdr:oneCellAnchor>
    <xdr:from>
      <xdr:col>1</xdr:col>
      <xdr:colOff>521426</xdr:colOff>
      <xdr:row>41</xdr:row>
      <xdr:rowOff>152400</xdr:rowOff>
    </xdr:from>
    <xdr:ext cx="831850" cy="43815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5811DEB-C00C-4D83-B974-A6F9BA469C03}"/>
            </a:ext>
          </a:extLst>
        </xdr:cNvPr>
        <xdr:cNvSpPr txBox="1"/>
      </xdr:nvSpPr>
      <xdr:spPr>
        <a:xfrm>
          <a:off x="1131026" y="80010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3</xdr:col>
      <xdr:colOff>292100</xdr:colOff>
      <xdr:row>41</xdr:row>
      <xdr:rowOff>139700</xdr:rowOff>
    </xdr:from>
    <xdr:ext cx="831850" cy="43815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11F06BE-45D9-4081-AEB7-3C09DC5E7270}"/>
            </a:ext>
          </a:extLst>
        </xdr:cNvPr>
        <xdr:cNvSpPr txBox="1"/>
      </xdr:nvSpPr>
      <xdr:spPr>
        <a:xfrm>
          <a:off x="2120900" y="79311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2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5</xdr:col>
      <xdr:colOff>95250</xdr:colOff>
      <xdr:row>41</xdr:row>
      <xdr:rowOff>158750</xdr:rowOff>
    </xdr:from>
    <xdr:ext cx="831850" cy="43815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D1B6811-7A44-4BBE-9EE6-99AAC47D1DB0}"/>
            </a:ext>
          </a:extLst>
        </xdr:cNvPr>
        <xdr:cNvSpPr txBox="1"/>
      </xdr:nvSpPr>
      <xdr:spPr>
        <a:xfrm>
          <a:off x="3143250" y="79502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3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6</xdr:col>
      <xdr:colOff>552450</xdr:colOff>
      <xdr:row>41</xdr:row>
      <xdr:rowOff>171450</xdr:rowOff>
    </xdr:from>
    <xdr:ext cx="831850" cy="43815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3830077-FCD2-4FED-8D02-523A6516F15F}"/>
            </a:ext>
          </a:extLst>
        </xdr:cNvPr>
        <xdr:cNvSpPr txBox="1"/>
      </xdr:nvSpPr>
      <xdr:spPr>
        <a:xfrm>
          <a:off x="4210050" y="79629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4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8</xdr:col>
      <xdr:colOff>393700</xdr:colOff>
      <xdr:row>41</xdr:row>
      <xdr:rowOff>158750</xdr:rowOff>
    </xdr:from>
    <xdr:ext cx="831850" cy="43815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9C45CCB-45B5-4408-8FE0-DFC3508457CA}"/>
            </a:ext>
          </a:extLst>
        </xdr:cNvPr>
        <xdr:cNvSpPr txBox="1"/>
      </xdr:nvSpPr>
      <xdr:spPr>
        <a:xfrm>
          <a:off x="5270500" y="79502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</a:t>
          </a:r>
          <a:r>
            <a:rPr lang="en-US" sz="900">
              <a:solidFill>
                <a:srgbClr val="FFFF00"/>
              </a:solidFill>
            </a:rPr>
            <a:t> 13</a:t>
          </a:r>
          <a:r>
            <a:rPr lang="th-TH" sz="900">
              <a:solidFill>
                <a:srgbClr val="FFFF00"/>
              </a:solidFill>
            </a:rPr>
            <a:t> </a:t>
          </a:r>
          <a:endParaRPr lang="en-US" sz="900">
            <a:solidFill>
              <a:srgbClr val="FFFF00"/>
            </a:solidFill>
          </a:endParaRP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10</xdr:col>
      <xdr:colOff>241300</xdr:colOff>
      <xdr:row>41</xdr:row>
      <xdr:rowOff>152400</xdr:rowOff>
    </xdr:from>
    <xdr:ext cx="831850" cy="43815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99238C-B624-44DF-80C6-B05CAF8FB0BA}"/>
            </a:ext>
          </a:extLst>
        </xdr:cNvPr>
        <xdr:cNvSpPr txBox="1"/>
      </xdr:nvSpPr>
      <xdr:spPr>
        <a:xfrm>
          <a:off x="6337300" y="79438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14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12</xdr:col>
      <xdr:colOff>107950</xdr:colOff>
      <xdr:row>41</xdr:row>
      <xdr:rowOff>158750</xdr:rowOff>
    </xdr:from>
    <xdr:ext cx="831850" cy="43815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C968085-4DB1-4906-BBF0-2ADD8D7BC1C3}"/>
            </a:ext>
          </a:extLst>
        </xdr:cNvPr>
        <xdr:cNvSpPr txBox="1"/>
      </xdr:nvSpPr>
      <xdr:spPr>
        <a:xfrm>
          <a:off x="7423150" y="795020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7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  <xdr:oneCellAnchor>
    <xdr:from>
      <xdr:col>13</xdr:col>
      <xdr:colOff>508000</xdr:colOff>
      <xdr:row>41</xdr:row>
      <xdr:rowOff>152400</xdr:rowOff>
    </xdr:from>
    <xdr:ext cx="831850" cy="43815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A50162B-3461-4190-8308-2276A01110D3}"/>
            </a:ext>
          </a:extLst>
        </xdr:cNvPr>
        <xdr:cNvSpPr txBox="1"/>
      </xdr:nvSpPr>
      <xdr:spPr>
        <a:xfrm>
          <a:off x="8432800" y="7943850"/>
          <a:ext cx="8318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900">
              <a:solidFill>
                <a:srgbClr val="FFFF00"/>
              </a:solidFill>
            </a:rPr>
            <a:t>ถังที่ </a:t>
          </a:r>
          <a:r>
            <a:rPr lang="en-US" sz="900">
              <a:solidFill>
                <a:srgbClr val="FFFF00"/>
              </a:solidFill>
            </a:rPr>
            <a:t>8</a:t>
          </a:r>
        </a:p>
        <a:p>
          <a:pPr algn="ctr"/>
          <a:r>
            <a:rPr lang="th-TH" sz="900">
              <a:solidFill>
                <a:srgbClr val="FFFF00"/>
              </a:solidFill>
            </a:rPr>
            <a:t>สถานะ </a:t>
          </a:r>
          <a:r>
            <a:rPr lang="en-US" sz="900">
              <a:solidFill>
                <a:srgbClr val="FFFF00"/>
              </a:solidFill>
            </a:rPr>
            <a:t>:</a:t>
          </a:r>
          <a:r>
            <a:rPr lang="en-US" sz="900" baseline="0">
              <a:solidFill>
                <a:srgbClr val="FFFF00"/>
              </a:solidFill>
            </a:rPr>
            <a:t> </a:t>
          </a:r>
          <a:r>
            <a:rPr lang="th-TH" sz="900" baseline="0">
              <a:solidFill>
                <a:srgbClr val="FFFF00"/>
              </a:solidFill>
            </a:rPr>
            <a:t>เต็ม</a:t>
          </a:r>
        </a:p>
        <a:p>
          <a:pPr algn="ctr"/>
          <a:endParaRPr lang="en-US" sz="900">
            <a:solidFill>
              <a:srgbClr val="FFFF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BDB69B-8174-4B41-83EA-FDE173BE428B}">
  <we:reference id="WA200006009" version="2.1.3.10" store="Omex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EDAB-BAA5-4A2F-A508-22DD5F320F38}">
  <sheetPr>
    <tabColor rgb="FFFFFF00"/>
    <pageSetUpPr fitToPage="1"/>
  </sheetPr>
  <dimension ref="A1:AN12"/>
  <sheetViews>
    <sheetView zoomScale="76" zoomScaleNormal="76" workbookViewId="0">
      <pane xSplit="3" topLeftCell="D1" activePane="topRight" state="frozen"/>
      <selection pane="topRight" activeCell="AK3" sqref="AK3:AK6"/>
    </sheetView>
  </sheetViews>
  <sheetFormatPr defaultColWidth="5.15625" defaultRowHeight="32.4" customHeight="1"/>
  <cols>
    <col min="1" max="1" width="12.62890625" style="1" customWidth="1"/>
    <col min="2" max="2" width="12.15625" style="1" customWidth="1"/>
    <col min="3" max="3" width="12" style="1" customWidth="1"/>
    <col min="4" max="4" width="18.1015625" style="1" customWidth="1"/>
    <col min="5" max="29" width="5.15625" style="1"/>
    <col min="30" max="30" width="5.47265625" style="1" bestFit="1" customWidth="1"/>
    <col min="31" max="35" width="5.15625" style="1"/>
    <col min="36" max="36" width="14.3671875" style="1" customWidth="1"/>
    <col min="37" max="37" width="24.62890625" style="1" customWidth="1"/>
    <col min="38" max="40" width="12.7890625" style="1" customWidth="1"/>
    <col min="41" max="16384" width="5.15625" style="1"/>
  </cols>
  <sheetData>
    <row r="1" spans="1:40" ht="32.4" customHeight="1">
      <c r="A1" s="94" t="s">
        <v>21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</row>
    <row r="2" spans="1:40" ht="67.3" customHeight="1">
      <c r="A2" s="13" t="s">
        <v>7</v>
      </c>
      <c r="B2" s="13"/>
      <c r="C2" s="13" t="s">
        <v>10</v>
      </c>
      <c r="D2" s="14" t="s">
        <v>20</v>
      </c>
      <c r="E2" s="13">
        <v>1</v>
      </c>
      <c r="F2" s="21">
        <v>2</v>
      </c>
      <c r="G2" s="13">
        <v>3</v>
      </c>
      <c r="H2" s="20">
        <v>4</v>
      </c>
      <c r="I2" s="21">
        <v>5</v>
      </c>
      <c r="J2" s="13">
        <v>6</v>
      </c>
      <c r="K2" s="21">
        <v>7</v>
      </c>
      <c r="L2" s="13">
        <v>8</v>
      </c>
      <c r="M2" s="13">
        <v>9</v>
      </c>
      <c r="N2" s="13">
        <v>10</v>
      </c>
      <c r="O2" s="12">
        <v>11</v>
      </c>
      <c r="P2" s="13">
        <v>12</v>
      </c>
      <c r="Q2" s="13">
        <v>13</v>
      </c>
      <c r="R2" s="13">
        <v>14</v>
      </c>
      <c r="S2" s="13">
        <v>15</v>
      </c>
      <c r="T2" s="13">
        <v>16</v>
      </c>
      <c r="U2" s="13">
        <v>17</v>
      </c>
      <c r="V2" s="12">
        <v>18</v>
      </c>
      <c r="W2" s="13">
        <v>19</v>
      </c>
      <c r="X2" s="13">
        <v>20</v>
      </c>
      <c r="Y2" s="13">
        <v>21</v>
      </c>
      <c r="Z2" s="13">
        <v>22</v>
      </c>
      <c r="AA2" s="13">
        <v>23</v>
      </c>
      <c r="AB2" s="13">
        <v>24</v>
      </c>
      <c r="AC2" s="12">
        <v>25</v>
      </c>
      <c r="AD2" s="13">
        <v>26</v>
      </c>
      <c r="AE2" s="13">
        <v>27</v>
      </c>
      <c r="AF2" s="13">
        <v>28</v>
      </c>
      <c r="AG2" s="13">
        <v>29</v>
      </c>
      <c r="AH2" s="13">
        <v>30</v>
      </c>
      <c r="AI2" s="13">
        <v>31</v>
      </c>
      <c r="AJ2" s="2" t="s">
        <v>4</v>
      </c>
      <c r="AK2" s="14" t="s">
        <v>19</v>
      </c>
      <c r="AL2" s="19" t="s">
        <v>16</v>
      </c>
      <c r="AM2" s="19" t="s">
        <v>17</v>
      </c>
      <c r="AN2" s="19" t="s">
        <v>18</v>
      </c>
    </row>
    <row r="3" spans="1:40" ht="32.4" customHeight="1">
      <c r="A3" s="95" t="s">
        <v>11</v>
      </c>
      <c r="B3" s="3" t="s">
        <v>8</v>
      </c>
      <c r="C3" s="17" t="s">
        <v>3</v>
      </c>
      <c r="D3" s="98">
        <v>16</v>
      </c>
      <c r="E3" s="4"/>
      <c r="F3" s="4"/>
      <c r="G3" s="4"/>
      <c r="H3" s="4"/>
      <c r="I3" s="4"/>
      <c r="J3" s="4"/>
      <c r="K3" s="4"/>
      <c r="L3" s="2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0">
        <f>SUM(E3:AI3)</f>
        <v>0</v>
      </c>
      <c r="AK3" s="101">
        <f>SUM(D3+AJ3)-SUM(AJ4:AJ6)</f>
        <v>3</v>
      </c>
      <c r="AL3" s="86">
        <v>100</v>
      </c>
      <c r="AM3" s="91">
        <v>68</v>
      </c>
      <c r="AN3" s="86">
        <f>SUM(AL3-AM3)</f>
        <v>32</v>
      </c>
    </row>
    <row r="4" spans="1:40" ht="32.4" customHeight="1">
      <c r="A4" s="96"/>
      <c r="B4" s="87" t="s">
        <v>9</v>
      </c>
      <c r="C4" s="3" t="s">
        <v>2</v>
      </c>
      <c r="D4" s="99"/>
      <c r="E4" s="4"/>
      <c r="F4" s="4"/>
      <c r="G4" s="4">
        <v>1</v>
      </c>
      <c r="H4" s="4"/>
      <c r="I4" s="4"/>
      <c r="J4" s="4"/>
      <c r="K4" s="4"/>
      <c r="L4" s="4">
        <v>1</v>
      </c>
      <c r="M4" s="4"/>
      <c r="N4" s="4"/>
      <c r="O4" s="4"/>
      <c r="P4" s="4"/>
      <c r="Q4" s="4"/>
      <c r="R4" s="4"/>
      <c r="S4" s="4">
        <v>1</v>
      </c>
      <c r="T4" s="4"/>
      <c r="U4" s="4"/>
      <c r="V4" s="4"/>
      <c r="W4" s="4">
        <v>1</v>
      </c>
      <c r="X4" s="4"/>
      <c r="Y4" s="4"/>
      <c r="Z4" s="4"/>
      <c r="AA4" s="4"/>
      <c r="AB4" s="4"/>
      <c r="AC4" s="4"/>
      <c r="AD4" s="4"/>
      <c r="AE4" s="4">
        <v>1</v>
      </c>
      <c r="AF4" s="4"/>
      <c r="AG4" s="4"/>
      <c r="AH4" s="4"/>
      <c r="AI4" s="4"/>
      <c r="AJ4" s="10">
        <f t="shared" ref="AJ4:AJ12" si="0">SUM(E4:AI4)</f>
        <v>5</v>
      </c>
      <c r="AK4" s="102"/>
      <c r="AL4" s="86"/>
      <c r="AM4" s="93"/>
      <c r="AN4" s="86"/>
    </row>
    <row r="5" spans="1:40" ht="32.4" customHeight="1">
      <c r="A5" s="96"/>
      <c r="B5" s="87"/>
      <c r="C5" s="3" t="s">
        <v>0</v>
      </c>
      <c r="D5" s="99"/>
      <c r="E5" s="4">
        <v>1</v>
      </c>
      <c r="F5" s="4"/>
      <c r="G5" s="4"/>
      <c r="H5" s="4"/>
      <c r="I5" s="4">
        <v>1</v>
      </c>
      <c r="J5" s="4"/>
      <c r="K5" s="4"/>
      <c r="L5" s="4"/>
      <c r="M5" s="4"/>
      <c r="N5" s="4"/>
      <c r="O5" s="4"/>
      <c r="P5" s="4">
        <v>1</v>
      </c>
      <c r="Q5" s="4"/>
      <c r="R5" s="4"/>
      <c r="S5" s="4"/>
      <c r="T5" s="4"/>
      <c r="U5" s="4"/>
      <c r="V5" s="4"/>
      <c r="W5" s="4"/>
      <c r="X5" s="4"/>
      <c r="Y5" s="4">
        <v>1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10">
        <f t="shared" si="0"/>
        <v>4</v>
      </c>
      <c r="AK5" s="102"/>
      <c r="AL5" s="86"/>
      <c r="AM5" s="93"/>
      <c r="AN5" s="86"/>
    </row>
    <row r="6" spans="1:40" ht="32.4" customHeight="1">
      <c r="A6" s="97"/>
      <c r="B6" s="87"/>
      <c r="C6" s="3" t="s">
        <v>1</v>
      </c>
      <c r="D6" s="100"/>
      <c r="E6" s="4"/>
      <c r="F6" s="4"/>
      <c r="G6" s="4"/>
      <c r="H6" s="4">
        <v>1</v>
      </c>
      <c r="I6" s="4"/>
      <c r="J6" s="4"/>
      <c r="K6" s="4"/>
      <c r="L6" s="4"/>
      <c r="M6" s="4">
        <v>1</v>
      </c>
      <c r="N6" s="4"/>
      <c r="O6" s="4"/>
      <c r="P6" s="4"/>
      <c r="Q6" s="4"/>
      <c r="R6" s="4"/>
      <c r="S6" s="4"/>
      <c r="T6" s="4">
        <v>1</v>
      </c>
      <c r="U6" s="4"/>
      <c r="V6" s="4"/>
      <c r="W6" s="4"/>
      <c r="X6" s="4"/>
      <c r="Y6" s="4"/>
      <c r="Z6" s="4"/>
      <c r="AA6" s="4">
        <v>1</v>
      </c>
      <c r="AB6" s="4"/>
      <c r="AC6" s="4"/>
      <c r="AD6" s="4"/>
      <c r="AE6" s="4"/>
      <c r="AF6" s="4"/>
      <c r="AG6" s="4"/>
      <c r="AH6" s="4"/>
      <c r="AI6" s="4"/>
      <c r="AJ6" s="10">
        <f t="shared" si="0"/>
        <v>4</v>
      </c>
      <c r="AK6" s="103"/>
      <c r="AL6" s="86"/>
      <c r="AM6" s="92"/>
      <c r="AN6" s="86"/>
    </row>
    <row r="7" spans="1:40" ht="32.4" customHeight="1">
      <c r="A7" s="88" t="s">
        <v>6</v>
      </c>
      <c r="B7" s="8" t="s">
        <v>8</v>
      </c>
      <c r="C7" s="8" t="s">
        <v>15</v>
      </c>
      <c r="D7" s="89">
        <v>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0">
        <f>SUM(E7:AI7)</f>
        <v>0</v>
      </c>
      <c r="AK7" s="80">
        <f>SUM(D7+AJ7)-(AJ8)</f>
        <v>14</v>
      </c>
      <c r="AL7" s="86">
        <v>100</v>
      </c>
      <c r="AM7" s="91">
        <v>96</v>
      </c>
      <c r="AN7" s="86">
        <f>SUM(AL7-AM7)</f>
        <v>4</v>
      </c>
    </row>
    <row r="8" spans="1:40" ht="32.4" customHeight="1">
      <c r="A8" s="81"/>
      <c r="B8" s="8" t="s">
        <v>9</v>
      </c>
      <c r="C8" s="9" t="s">
        <v>2</v>
      </c>
      <c r="D8" s="90"/>
      <c r="E8" s="5">
        <v>1</v>
      </c>
      <c r="F8" s="5"/>
      <c r="G8" s="5">
        <v>1</v>
      </c>
      <c r="H8" s="5">
        <v>1</v>
      </c>
      <c r="I8" s="5"/>
      <c r="J8" s="5"/>
      <c r="K8" s="5">
        <v>1</v>
      </c>
      <c r="L8" s="5"/>
      <c r="M8" s="5"/>
      <c r="N8" s="5">
        <v>1</v>
      </c>
      <c r="O8" s="5"/>
      <c r="P8" s="5">
        <v>1</v>
      </c>
      <c r="Q8" s="5"/>
      <c r="R8" s="5">
        <v>1</v>
      </c>
      <c r="S8" s="5"/>
      <c r="T8" s="5">
        <v>1</v>
      </c>
      <c r="U8" s="5"/>
      <c r="V8" s="5">
        <v>1</v>
      </c>
      <c r="W8" s="5">
        <v>1</v>
      </c>
      <c r="X8" s="5"/>
      <c r="Y8" s="5"/>
      <c r="Z8" s="5">
        <v>1</v>
      </c>
      <c r="AA8" s="5"/>
      <c r="AB8" s="5">
        <v>1</v>
      </c>
      <c r="AC8" s="5"/>
      <c r="AD8" s="5"/>
      <c r="AE8" s="5"/>
      <c r="AF8" s="5">
        <v>1</v>
      </c>
      <c r="AG8" s="5"/>
      <c r="AH8" s="5">
        <v>1</v>
      </c>
      <c r="AI8" s="5"/>
      <c r="AJ8" s="10">
        <f>SUM(E8:AI8)</f>
        <v>14</v>
      </c>
      <c r="AK8" s="81"/>
      <c r="AL8" s="86"/>
      <c r="AM8" s="92"/>
      <c r="AN8" s="86"/>
    </row>
    <row r="9" spans="1:40" ht="32.4" customHeight="1">
      <c r="A9" s="76" t="s">
        <v>14</v>
      </c>
      <c r="B9" s="11" t="s">
        <v>8</v>
      </c>
      <c r="C9" s="18" t="s">
        <v>5</v>
      </c>
      <c r="D9" s="78">
        <v>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10">
        <f t="shared" si="0"/>
        <v>0</v>
      </c>
      <c r="AK9" s="80">
        <f>SUM(D9+AJ9)-SUM(AJ9:AJ10)</f>
        <v>2</v>
      </c>
    </row>
    <row r="10" spans="1:40" ht="32.4" customHeight="1">
      <c r="A10" s="77"/>
      <c r="B10" s="11" t="s">
        <v>9</v>
      </c>
      <c r="C10" s="18" t="s">
        <v>13</v>
      </c>
      <c r="D10" s="7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0">
        <f t="shared" si="0"/>
        <v>0</v>
      </c>
      <c r="AK10" s="81"/>
    </row>
    <row r="11" spans="1:40" ht="32.4" customHeight="1">
      <c r="A11" s="82" t="s">
        <v>12</v>
      </c>
      <c r="B11" s="15" t="s">
        <v>8</v>
      </c>
      <c r="C11" s="16" t="s">
        <v>12</v>
      </c>
      <c r="D11" s="84" t="e">
        <f>#REF!</f>
        <v>#REF!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0">
        <f t="shared" si="0"/>
        <v>0</v>
      </c>
      <c r="AK11" s="80" t="e">
        <f>SUM(D11+AJ11)-SUM(AJ11:AJ12)</f>
        <v>#REF!</v>
      </c>
    </row>
    <row r="12" spans="1:40" ht="32.4" customHeight="1">
      <c r="A12" s="83"/>
      <c r="B12" s="15" t="s">
        <v>9</v>
      </c>
      <c r="C12" s="16" t="s">
        <v>13</v>
      </c>
      <c r="D12" s="8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0">
        <f t="shared" si="0"/>
        <v>0</v>
      </c>
      <c r="AK12" s="81"/>
    </row>
  </sheetData>
  <mergeCells count="20">
    <mergeCell ref="A1:AK1"/>
    <mergeCell ref="A3:A6"/>
    <mergeCell ref="D3:D6"/>
    <mergeCell ref="AK3:AK6"/>
    <mergeCell ref="AL3:AL6"/>
    <mergeCell ref="AN3:AN6"/>
    <mergeCell ref="B4:B6"/>
    <mergeCell ref="A7:A8"/>
    <mergeCell ref="D7:D8"/>
    <mergeCell ref="AK7:AK8"/>
    <mergeCell ref="AL7:AL8"/>
    <mergeCell ref="AM7:AM8"/>
    <mergeCell ref="AN7:AN8"/>
    <mergeCell ref="AM3:AM6"/>
    <mergeCell ref="A9:A10"/>
    <mergeCell ref="D9:D10"/>
    <mergeCell ref="AK9:AK10"/>
    <mergeCell ref="A11:A12"/>
    <mergeCell ref="D11:D12"/>
    <mergeCell ref="AK11:AK12"/>
  </mergeCells>
  <conditionalFormatting sqref="AK3:AK6">
    <cfRule type="colorScale" priority="1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3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:AK12">
    <cfRule type="colorScale" priority="2">
      <colorScale>
        <cfvo type="num" val="5"/>
        <cfvo type="num" val="10"/>
        <cfvo type="num" val="15"/>
        <color rgb="FFFF0000"/>
        <color rgb="FFFFFF00"/>
        <color rgb="FF00B050"/>
      </colorScale>
    </cfRule>
  </conditionalFormatting>
  <pageMargins left="0.7" right="0.7" top="0.75" bottom="0.75" header="0.3" footer="0.3"/>
  <pageSetup scale="5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84A0-D4F4-4533-A9EA-6CAACF7EC6B5}">
  <sheetPr>
    <tabColor rgb="FFFFFF00"/>
    <pageSetUpPr fitToPage="1"/>
  </sheetPr>
  <dimension ref="A1:AN12"/>
  <sheetViews>
    <sheetView topLeftCell="A2" zoomScale="62" zoomScaleNormal="62" workbookViewId="0">
      <pane xSplit="3" topLeftCell="D1" activePane="topRight" state="frozen"/>
      <selection pane="topRight" activeCell="K11" sqref="K11"/>
    </sheetView>
  </sheetViews>
  <sheetFormatPr defaultColWidth="5.15625" defaultRowHeight="32.4" customHeight="1"/>
  <cols>
    <col min="1" max="1" width="12.62890625" style="1" customWidth="1"/>
    <col min="2" max="2" width="12.15625" style="1" customWidth="1"/>
    <col min="3" max="3" width="12" style="1" customWidth="1"/>
    <col min="4" max="4" width="18.1015625" style="1" customWidth="1"/>
    <col min="5" max="29" width="5.15625" style="1"/>
    <col min="30" max="30" width="5.47265625" style="1" bestFit="1" customWidth="1"/>
    <col min="31" max="35" width="5.15625" style="1"/>
    <col min="36" max="36" width="14.3671875" style="1" customWidth="1"/>
    <col min="37" max="37" width="24.62890625" style="1" customWidth="1"/>
    <col min="38" max="40" width="12.7890625" style="1" customWidth="1"/>
    <col min="41" max="16384" width="5.15625" style="1"/>
  </cols>
  <sheetData>
    <row r="1" spans="1:40" ht="32.4" customHeight="1">
      <c r="A1" s="94" t="s">
        <v>22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</row>
    <row r="2" spans="1:40" ht="67.3" customHeight="1">
      <c r="A2" s="13" t="s">
        <v>7</v>
      </c>
      <c r="B2" s="13"/>
      <c r="C2" s="13" t="s">
        <v>10</v>
      </c>
      <c r="D2" s="14" t="s">
        <v>23</v>
      </c>
      <c r="E2" s="20">
        <v>1</v>
      </c>
      <c r="F2" s="21">
        <v>2</v>
      </c>
      <c r="G2" s="13">
        <v>3</v>
      </c>
      <c r="H2" s="21">
        <v>4</v>
      </c>
      <c r="I2" s="21">
        <v>5</v>
      </c>
      <c r="J2" s="13">
        <v>6</v>
      </c>
      <c r="K2" s="21">
        <v>7</v>
      </c>
      <c r="L2" s="12">
        <v>8</v>
      </c>
      <c r="M2" s="13">
        <v>9</v>
      </c>
      <c r="N2" s="13">
        <v>10</v>
      </c>
      <c r="O2" s="13">
        <v>11</v>
      </c>
      <c r="P2" s="13">
        <v>12</v>
      </c>
      <c r="Q2" s="13">
        <v>13</v>
      </c>
      <c r="R2" s="13">
        <v>14</v>
      </c>
      <c r="S2" s="12">
        <v>15</v>
      </c>
      <c r="T2" s="13">
        <v>16</v>
      </c>
      <c r="U2" s="13">
        <v>17</v>
      </c>
      <c r="V2" s="13">
        <v>18</v>
      </c>
      <c r="W2" s="13">
        <v>19</v>
      </c>
      <c r="X2" s="13">
        <v>20</v>
      </c>
      <c r="Y2" s="13">
        <v>21</v>
      </c>
      <c r="Z2" s="12">
        <v>22</v>
      </c>
      <c r="AA2" s="13">
        <v>23</v>
      </c>
      <c r="AB2" s="13">
        <v>24</v>
      </c>
      <c r="AC2" s="13">
        <v>25</v>
      </c>
      <c r="AD2" s="13">
        <v>26</v>
      </c>
      <c r="AE2" s="13">
        <v>27</v>
      </c>
      <c r="AF2" s="13">
        <v>28</v>
      </c>
      <c r="AG2" s="21">
        <v>29</v>
      </c>
      <c r="AH2" s="13">
        <v>30</v>
      </c>
      <c r="AI2" s="13">
        <v>31</v>
      </c>
      <c r="AJ2" s="2" t="s">
        <v>4</v>
      </c>
      <c r="AK2" s="14" t="s">
        <v>19</v>
      </c>
      <c r="AL2" s="19" t="s">
        <v>16</v>
      </c>
      <c r="AM2" s="19" t="s">
        <v>17</v>
      </c>
      <c r="AN2" s="19" t="s">
        <v>18</v>
      </c>
    </row>
    <row r="3" spans="1:40" ht="32.4" customHeight="1">
      <c r="A3" s="95" t="s">
        <v>11</v>
      </c>
      <c r="B3" s="3" t="s">
        <v>8</v>
      </c>
      <c r="C3" s="17" t="s">
        <v>3</v>
      </c>
      <c r="D3" s="98">
        <v>4</v>
      </c>
      <c r="E3" s="4">
        <v>17</v>
      </c>
      <c r="F3" s="4"/>
      <c r="G3" s="4"/>
      <c r="H3" s="4"/>
      <c r="I3" s="4"/>
      <c r="J3" s="4"/>
      <c r="K3" s="4"/>
      <c r="L3" s="2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>
        <v>9</v>
      </c>
      <c r="AE3" s="4"/>
      <c r="AF3" s="4"/>
      <c r="AG3" s="4"/>
      <c r="AH3" s="4"/>
      <c r="AI3" s="4"/>
      <c r="AJ3" s="10">
        <f>SUM(E3:AI3)</f>
        <v>26</v>
      </c>
      <c r="AK3" s="101">
        <f>SUM(D3+AJ3)-SUM(AJ4:AJ6)</f>
        <v>17</v>
      </c>
      <c r="AL3" s="86">
        <v>100</v>
      </c>
      <c r="AM3" s="91">
        <v>85</v>
      </c>
      <c r="AN3" s="86">
        <f>SUM(AL3-AM3)</f>
        <v>15</v>
      </c>
    </row>
    <row r="4" spans="1:40" ht="32.4" customHeight="1">
      <c r="A4" s="96"/>
      <c r="B4" s="87" t="s">
        <v>9</v>
      </c>
      <c r="C4" s="3" t="s">
        <v>2</v>
      </c>
      <c r="D4" s="99"/>
      <c r="E4" s="4"/>
      <c r="F4" s="4">
        <v>1</v>
      </c>
      <c r="G4" s="4"/>
      <c r="H4" s="4"/>
      <c r="I4" s="4"/>
      <c r="J4" s="4">
        <v>1</v>
      </c>
      <c r="K4" s="4"/>
      <c r="L4" s="4"/>
      <c r="M4" s="4"/>
      <c r="N4" s="4"/>
      <c r="O4" s="4">
        <v>1</v>
      </c>
      <c r="P4" s="4"/>
      <c r="Q4" s="4"/>
      <c r="R4" s="4"/>
      <c r="S4" s="4"/>
      <c r="T4" s="4">
        <v>1</v>
      </c>
      <c r="U4" s="4"/>
      <c r="V4" s="4"/>
      <c r="W4" s="4"/>
      <c r="X4" s="4"/>
      <c r="Y4" s="4">
        <v>1</v>
      </c>
      <c r="Z4" s="4"/>
      <c r="AA4" s="4"/>
      <c r="AB4" s="4"/>
      <c r="AC4" s="4"/>
      <c r="AD4" s="4"/>
      <c r="AE4" s="4">
        <v>1</v>
      </c>
      <c r="AF4" s="4"/>
      <c r="AG4" s="4"/>
      <c r="AH4" s="4"/>
      <c r="AI4" s="4"/>
      <c r="AJ4" s="10">
        <f t="shared" ref="AJ4:AJ12" si="0">SUM(E4:AI4)</f>
        <v>6</v>
      </c>
      <c r="AK4" s="102"/>
      <c r="AL4" s="86"/>
      <c r="AM4" s="93"/>
      <c r="AN4" s="86"/>
    </row>
    <row r="5" spans="1:40" ht="32.4" customHeight="1">
      <c r="A5" s="96"/>
      <c r="B5" s="87"/>
      <c r="C5" s="3" t="s">
        <v>0</v>
      </c>
      <c r="D5" s="99"/>
      <c r="E5" s="4"/>
      <c r="F5" s="4"/>
      <c r="G5" s="4"/>
      <c r="H5" s="4"/>
      <c r="I5" s="4"/>
      <c r="J5" s="4"/>
      <c r="K5" s="4"/>
      <c r="L5" s="4">
        <v>1</v>
      </c>
      <c r="M5" s="4"/>
      <c r="N5" s="4"/>
      <c r="O5" s="4"/>
      <c r="P5" s="4"/>
      <c r="Q5" s="4"/>
      <c r="R5" s="4"/>
      <c r="S5" s="4"/>
      <c r="T5" s="4">
        <v>1</v>
      </c>
      <c r="U5" s="4"/>
      <c r="V5" s="4"/>
      <c r="W5" s="4"/>
      <c r="X5" s="4"/>
      <c r="Y5" s="4"/>
      <c r="Z5" s="4"/>
      <c r="AA5" s="4"/>
      <c r="AB5" s="4">
        <v>1</v>
      </c>
      <c r="AC5" s="4"/>
      <c r="AD5" s="4"/>
      <c r="AE5" s="4"/>
      <c r="AF5" s="4"/>
      <c r="AG5" s="4"/>
      <c r="AH5" s="4"/>
      <c r="AI5" s="4"/>
      <c r="AJ5" s="10">
        <f t="shared" si="0"/>
        <v>3</v>
      </c>
      <c r="AK5" s="102"/>
      <c r="AL5" s="86"/>
      <c r="AM5" s="93"/>
      <c r="AN5" s="86"/>
    </row>
    <row r="6" spans="1:40" ht="32.4" customHeight="1">
      <c r="A6" s="97"/>
      <c r="B6" s="87"/>
      <c r="C6" s="3" t="s">
        <v>1</v>
      </c>
      <c r="D6" s="100"/>
      <c r="E6" s="4">
        <v>1</v>
      </c>
      <c r="F6" s="4"/>
      <c r="G6" s="4"/>
      <c r="H6" s="4"/>
      <c r="I6" s="4"/>
      <c r="J6" s="4"/>
      <c r="K6" s="4"/>
      <c r="L6" s="4"/>
      <c r="M6" s="4">
        <v>1</v>
      </c>
      <c r="N6" s="4"/>
      <c r="O6" s="4"/>
      <c r="P6" s="4"/>
      <c r="Q6" s="4"/>
      <c r="R6" s="4"/>
      <c r="S6" s="4"/>
      <c r="T6" s="4"/>
      <c r="U6" s="4">
        <v>1</v>
      </c>
      <c r="V6" s="4"/>
      <c r="W6" s="4"/>
      <c r="X6" s="4"/>
      <c r="Y6" s="4"/>
      <c r="Z6" s="4"/>
      <c r="AA6" s="4"/>
      <c r="AB6" s="4"/>
      <c r="AC6" s="4">
        <v>1</v>
      </c>
      <c r="AD6" s="4"/>
      <c r="AE6" s="4"/>
      <c r="AF6" s="4"/>
      <c r="AG6" s="4"/>
      <c r="AH6" s="4"/>
      <c r="AI6" s="4"/>
      <c r="AJ6" s="10">
        <f t="shared" si="0"/>
        <v>4</v>
      </c>
      <c r="AK6" s="103"/>
      <c r="AL6" s="86"/>
      <c r="AM6" s="92"/>
      <c r="AN6" s="86"/>
    </row>
    <row r="7" spans="1:40" ht="32.4" customHeight="1">
      <c r="A7" s="88" t="s">
        <v>6</v>
      </c>
      <c r="B7" s="8" t="s">
        <v>8</v>
      </c>
      <c r="C7" s="8" t="s">
        <v>15</v>
      </c>
      <c r="D7" s="89">
        <v>15</v>
      </c>
      <c r="E7" s="5"/>
      <c r="F7" s="5"/>
      <c r="G7" s="5"/>
      <c r="H7" s="5"/>
      <c r="I7" s="5"/>
      <c r="J7" s="5"/>
      <c r="K7" s="5"/>
      <c r="L7" s="5"/>
      <c r="M7" s="5">
        <v>20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0">
        <f>SUM(E7:AI7)</f>
        <v>20</v>
      </c>
      <c r="AK7" s="80">
        <f>SUM(D7+AJ7)-(AJ8)</f>
        <v>25</v>
      </c>
      <c r="AL7" s="86">
        <v>100</v>
      </c>
      <c r="AM7" s="91">
        <v>96</v>
      </c>
      <c r="AN7" s="86">
        <f>SUM(AL7-AM7)</f>
        <v>4</v>
      </c>
    </row>
    <row r="8" spans="1:40" ht="32.4" customHeight="1">
      <c r="A8" s="81"/>
      <c r="B8" s="8" t="s">
        <v>9</v>
      </c>
      <c r="C8" s="9" t="s">
        <v>2</v>
      </c>
      <c r="D8" s="90"/>
      <c r="E8" s="5">
        <v>1</v>
      </c>
      <c r="F8" s="5">
        <v>1</v>
      </c>
      <c r="G8" s="5"/>
      <c r="H8" s="5"/>
      <c r="I8" s="5"/>
      <c r="J8" s="5">
        <v>1</v>
      </c>
      <c r="K8" s="5">
        <v>1</v>
      </c>
      <c r="L8" s="5"/>
      <c r="M8" s="5"/>
      <c r="N8" s="5">
        <v>1</v>
      </c>
      <c r="O8" s="5"/>
      <c r="P8" s="5"/>
      <c r="Q8" s="5">
        <v>1</v>
      </c>
      <c r="R8" s="5"/>
      <c r="S8" s="5"/>
      <c r="T8" s="5">
        <v>1</v>
      </c>
      <c r="U8" s="5"/>
      <c r="V8" s="5"/>
      <c r="W8" s="5"/>
      <c r="X8" s="5"/>
      <c r="Y8" s="5">
        <v>1</v>
      </c>
      <c r="Z8" s="5"/>
      <c r="AA8" s="5"/>
      <c r="AB8" s="5"/>
      <c r="AC8" s="5">
        <v>1</v>
      </c>
      <c r="AD8" s="5"/>
      <c r="AE8" s="5"/>
      <c r="AF8" s="5">
        <v>1</v>
      </c>
      <c r="AG8" s="5"/>
      <c r="AH8" s="5"/>
      <c r="AI8" s="5"/>
      <c r="AJ8" s="10">
        <f>SUM(E8:AI8)</f>
        <v>10</v>
      </c>
      <c r="AK8" s="81"/>
      <c r="AL8" s="86"/>
      <c r="AM8" s="92"/>
      <c r="AN8" s="86"/>
    </row>
    <row r="9" spans="1:40" ht="32.4" customHeight="1">
      <c r="A9" s="76" t="s">
        <v>14</v>
      </c>
      <c r="B9" s="11" t="s">
        <v>8</v>
      </c>
      <c r="C9" s="18" t="s">
        <v>5</v>
      </c>
      <c r="D9" s="78">
        <v>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10">
        <f t="shared" si="0"/>
        <v>0</v>
      </c>
      <c r="AK9" s="80">
        <f>SUM(D9+AJ9)-SUM(AJ9:AJ10)</f>
        <v>2</v>
      </c>
    </row>
    <row r="10" spans="1:40" ht="32.4" customHeight="1">
      <c r="A10" s="77"/>
      <c r="B10" s="11" t="s">
        <v>9</v>
      </c>
      <c r="C10" s="18" t="s">
        <v>13</v>
      </c>
      <c r="D10" s="7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0">
        <f t="shared" si="0"/>
        <v>0</v>
      </c>
      <c r="AK10" s="81"/>
    </row>
    <row r="11" spans="1:40" ht="32.4" customHeight="1">
      <c r="A11" s="82" t="s">
        <v>12</v>
      </c>
      <c r="B11" s="15" t="s">
        <v>8</v>
      </c>
      <c r="C11" s="16" t="s">
        <v>12</v>
      </c>
      <c r="D11" s="84" t="e">
        <f>#REF!</f>
        <v>#REF!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0">
        <f t="shared" si="0"/>
        <v>0</v>
      </c>
      <c r="AK11" s="80" t="e">
        <f>SUM(D11+AJ11)-SUM(AJ11:AJ12)</f>
        <v>#REF!</v>
      </c>
    </row>
    <row r="12" spans="1:40" ht="32.4" customHeight="1">
      <c r="A12" s="83"/>
      <c r="B12" s="15" t="s">
        <v>9</v>
      </c>
      <c r="C12" s="16" t="s">
        <v>13</v>
      </c>
      <c r="D12" s="8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0">
        <f t="shared" si="0"/>
        <v>0</v>
      </c>
      <c r="AK12" s="81"/>
    </row>
  </sheetData>
  <mergeCells count="20">
    <mergeCell ref="A9:A10"/>
    <mergeCell ref="D9:D10"/>
    <mergeCell ref="AK9:AK10"/>
    <mergeCell ref="A11:A12"/>
    <mergeCell ref="D11:D12"/>
    <mergeCell ref="AK11:AK12"/>
    <mergeCell ref="AN3:AN6"/>
    <mergeCell ref="B4:B6"/>
    <mergeCell ref="A7:A8"/>
    <mergeCell ref="D7:D8"/>
    <mergeCell ref="AK7:AK8"/>
    <mergeCell ref="AL7:AL8"/>
    <mergeCell ref="AM7:AM8"/>
    <mergeCell ref="AN7:AN8"/>
    <mergeCell ref="AM3:AM6"/>
    <mergeCell ref="A1:AK1"/>
    <mergeCell ref="A3:A6"/>
    <mergeCell ref="D3:D6"/>
    <mergeCell ref="AK3:AK6"/>
    <mergeCell ref="AL3:AL6"/>
  </mergeCells>
  <conditionalFormatting sqref="AK3:AK6">
    <cfRule type="colorScale" priority="1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3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:AK12">
    <cfRule type="colorScale" priority="2">
      <colorScale>
        <cfvo type="num" val="5"/>
        <cfvo type="num" val="10"/>
        <cfvo type="num" val="15"/>
        <color rgb="FFFF0000"/>
        <color rgb="FFFFFF00"/>
        <color rgb="FF00B050"/>
      </colorScale>
    </cfRule>
  </conditionalFormatting>
  <pageMargins left="0.7" right="0.7" top="0.75" bottom="0.75" header="0.3" footer="0.3"/>
  <pageSetup scale="5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CCD2-54D3-401A-AC34-E5EB44E69ED2}">
  <sheetPr>
    <tabColor rgb="FFFFFF00"/>
    <pageSetUpPr fitToPage="1"/>
  </sheetPr>
  <dimension ref="A1:AN12"/>
  <sheetViews>
    <sheetView zoomScale="85" zoomScaleNormal="85" workbookViewId="0">
      <pane xSplit="4" ySplit="1" topLeftCell="Q2" activePane="bottomRight" state="frozen"/>
      <selection pane="topRight" activeCell="E1" sqref="E1"/>
      <selection pane="bottomLeft" activeCell="A2" sqref="A2"/>
      <selection pane="bottomRight" activeCell="AK7" sqref="AK7:AK8"/>
    </sheetView>
  </sheetViews>
  <sheetFormatPr defaultColWidth="5.15625" defaultRowHeight="32.4" customHeight="1"/>
  <cols>
    <col min="1" max="1" width="12.62890625" style="1" customWidth="1"/>
    <col min="2" max="2" width="12.15625" style="1" customWidth="1"/>
    <col min="3" max="3" width="12" style="1" customWidth="1"/>
    <col min="4" max="4" width="18.1015625" style="1" customWidth="1"/>
    <col min="5" max="29" width="5.15625" style="1"/>
    <col min="30" max="30" width="5.47265625" style="1" bestFit="1" customWidth="1"/>
    <col min="31" max="35" width="5.15625" style="1"/>
    <col min="36" max="36" width="14.3671875" style="1" customWidth="1"/>
    <col min="37" max="37" width="24.62890625" style="1" customWidth="1"/>
    <col min="38" max="40" width="12.7890625" style="1" customWidth="1"/>
    <col min="41" max="16384" width="5.15625" style="1"/>
  </cols>
  <sheetData>
    <row r="1" spans="1:40" ht="32.4" customHeight="1">
      <c r="A1" s="94" t="s">
        <v>24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</row>
    <row r="2" spans="1:40" ht="67.3" customHeight="1">
      <c r="A2" s="13" t="s">
        <v>7</v>
      </c>
      <c r="B2" s="13"/>
      <c r="C2" s="13" t="s">
        <v>10</v>
      </c>
      <c r="D2" s="14" t="s">
        <v>62</v>
      </c>
      <c r="E2" s="20">
        <v>1</v>
      </c>
      <c r="F2" s="21">
        <v>2</v>
      </c>
      <c r="G2" s="13">
        <v>3</v>
      </c>
      <c r="H2" s="21">
        <v>4</v>
      </c>
      <c r="I2" s="21">
        <v>5</v>
      </c>
      <c r="J2" s="13">
        <v>6</v>
      </c>
      <c r="K2" s="21">
        <v>7</v>
      </c>
      <c r="L2" s="12">
        <v>8</v>
      </c>
      <c r="M2" s="13">
        <v>9</v>
      </c>
      <c r="N2" s="13">
        <v>10</v>
      </c>
      <c r="O2" s="13">
        <v>11</v>
      </c>
      <c r="P2" s="13">
        <v>12</v>
      </c>
      <c r="Q2" s="13">
        <v>13</v>
      </c>
      <c r="R2" s="13">
        <v>14</v>
      </c>
      <c r="S2" s="12">
        <v>15</v>
      </c>
      <c r="T2" s="13">
        <v>16</v>
      </c>
      <c r="U2" s="13">
        <v>17</v>
      </c>
      <c r="V2" s="13">
        <v>18</v>
      </c>
      <c r="W2" s="13">
        <v>19</v>
      </c>
      <c r="X2" s="13">
        <v>20</v>
      </c>
      <c r="Y2" s="13">
        <v>21</v>
      </c>
      <c r="Z2" s="12">
        <v>22</v>
      </c>
      <c r="AA2" s="13">
        <v>23</v>
      </c>
      <c r="AB2" s="13">
        <v>24</v>
      </c>
      <c r="AC2" s="13">
        <v>25</v>
      </c>
      <c r="AD2" s="13">
        <v>26</v>
      </c>
      <c r="AE2" s="13">
        <v>27</v>
      </c>
      <c r="AF2" s="13">
        <v>28</v>
      </c>
      <c r="AG2" s="12">
        <v>29</v>
      </c>
      <c r="AH2" s="13">
        <v>30</v>
      </c>
      <c r="AI2" s="13">
        <v>31</v>
      </c>
      <c r="AJ2" s="2" t="s">
        <v>4</v>
      </c>
      <c r="AK2" s="14" t="s">
        <v>19</v>
      </c>
      <c r="AL2" s="19" t="s">
        <v>16</v>
      </c>
      <c r="AM2" s="19" t="s">
        <v>17</v>
      </c>
      <c r="AN2" s="19" t="s">
        <v>18</v>
      </c>
    </row>
    <row r="3" spans="1:40" ht="32.4" customHeight="1">
      <c r="A3" s="95" t="s">
        <v>11</v>
      </c>
      <c r="B3" s="3" t="s">
        <v>8</v>
      </c>
      <c r="C3" s="17" t="s">
        <v>3</v>
      </c>
      <c r="D3" s="98">
        <v>17</v>
      </c>
      <c r="E3" s="4"/>
      <c r="F3" s="4"/>
      <c r="G3" s="4"/>
      <c r="H3" s="4"/>
      <c r="I3" s="4"/>
      <c r="J3" s="4"/>
      <c r="K3" s="4"/>
      <c r="L3" s="22"/>
      <c r="M3" s="4"/>
      <c r="N3" s="4"/>
      <c r="O3" s="4"/>
      <c r="P3" s="4"/>
      <c r="Q3" s="4">
        <v>9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>
        <v>9</v>
      </c>
      <c r="AG3" s="4"/>
      <c r="AH3" s="4"/>
      <c r="AI3" s="4"/>
      <c r="AJ3" s="10">
        <f>SUM(E3:AI3)</f>
        <v>18</v>
      </c>
      <c r="AK3" s="101">
        <f>SUM(D3+AJ3)-SUM(AJ4:AJ6)</f>
        <v>19</v>
      </c>
      <c r="AL3" s="86">
        <v>100</v>
      </c>
      <c r="AM3" s="91">
        <v>44</v>
      </c>
      <c r="AN3" s="86">
        <v>56</v>
      </c>
    </row>
    <row r="4" spans="1:40" ht="32.4" customHeight="1">
      <c r="A4" s="96"/>
      <c r="B4" s="87" t="s">
        <v>9</v>
      </c>
      <c r="C4" s="3" t="s">
        <v>2</v>
      </c>
      <c r="D4" s="99"/>
      <c r="E4" s="4">
        <v>1</v>
      </c>
      <c r="F4" s="4"/>
      <c r="G4" s="4"/>
      <c r="H4" s="4">
        <v>1</v>
      </c>
      <c r="I4" s="4"/>
      <c r="J4" s="4"/>
      <c r="K4" s="4">
        <v>1</v>
      </c>
      <c r="L4" s="4"/>
      <c r="M4" s="4"/>
      <c r="N4" s="4">
        <v>1</v>
      </c>
      <c r="O4" s="4"/>
      <c r="P4" s="4">
        <v>1</v>
      </c>
      <c r="Q4" s="4"/>
      <c r="R4" s="4"/>
      <c r="S4" s="4"/>
      <c r="T4" s="4"/>
      <c r="U4" s="4"/>
      <c r="V4" s="4">
        <v>1</v>
      </c>
      <c r="W4" s="4"/>
      <c r="X4" s="4"/>
      <c r="Y4" s="4"/>
      <c r="Z4" s="4"/>
      <c r="AA4" s="4"/>
      <c r="AB4" s="4">
        <v>1</v>
      </c>
      <c r="AC4" s="4"/>
      <c r="AD4" s="4"/>
      <c r="AE4" s="4"/>
      <c r="AF4" s="4">
        <v>1</v>
      </c>
      <c r="AG4" s="4"/>
      <c r="AH4" s="4"/>
      <c r="AI4" s="4"/>
      <c r="AJ4" s="10">
        <f t="shared" ref="AJ4:AJ12" si="0">SUM(E4:AI4)</f>
        <v>8</v>
      </c>
      <c r="AK4" s="102"/>
      <c r="AL4" s="86"/>
      <c r="AM4" s="93"/>
      <c r="AN4" s="86"/>
    </row>
    <row r="5" spans="1:40" ht="32.4" customHeight="1">
      <c r="A5" s="96"/>
      <c r="B5" s="87"/>
      <c r="C5" s="3" t="s">
        <v>0</v>
      </c>
      <c r="D5" s="99"/>
      <c r="E5" s="4"/>
      <c r="F5" s="4"/>
      <c r="G5" s="4"/>
      <c r="H5" s="4"/>
      <c r="I5" s="4"/>
      <c r="J5" s="4"/>
      <c r="K5" s="4">
        <v>1</v>
      </c>
      <c r="L5" s="4"/>
      <c r="M5" s="4"/>
      <c r="N5" s="4"/>
      <c r="O5" s="4"/>
      <c r="P5" s="4"/>
      <c r="Q5" s="4"/>
      <c r="R5" s="4"/>
      <c r="S5" s="4"/>
      <c r="T5" s="4">
        <v>1</v>
      </c>
      <c r="U5" s="4"/>
      <c r="V5" s="4"/>
      <c r="W5" s="4"/>
      <c r="X5" s="4"/>
      <c r="Y5" s="4"/>
      <c r="Z5" s="4"/>
      <c r="AA5" s="4">
        <v>1</v>
      </c>
      <c r="AB5" s="4"/>
      <c r="AC5" s="4"/>
      <c r="AD5" s="4"/>
      <c r="AE5" s="4"/>
      <c r="AF5" s="4"/>
      <c r="AG5" s="4"/>
      <c r="AH5" s="4"/>
      <c r="AI5" s="4">
        <v>1</v>
      </c>
      <c r="AJ5" s="10">
        <f t="shared" si="0"/>
        <v>4</v>
      </c>
      <c r="AK5" s="102"/>
      <c r="AL5" s="86"/>
      <c r="AM5" s="93"/>
      <c r="AN5" s="86"/>
    </row>
    <row r="6" spans="1:40" ht="32.4" customHeight="1">
      <c r="A6" s="97"/>
      <c r="B6" s="87"/>
      <c r="C6" s="3" t="s">
        <v>1</v>
      </c>
      <c r="D6" s="100"/>
      <c r="E6" s="4"/>
      <c r="F6" s="4">
        <v>1</v>
      </c>
      <c r="G6" s="4"/>
      <c r="H6" s="4"/>
      <c r="I6" s="4"/>
      <c r="J6" s="4"/>
      <c r="K6" s="4"/>
      <c r="L6" s="4"/>
      <c r="M6" s="4"/>
      <c r="N6" s="4"/>
      <c r="O6" s="4"/>
      <c r="P6" s="4">
        <v>1</v>
      </c>
      <c r="Q6" s="4"/>
      <c r="R6" s="4"/>
      <c r="S6" s="4"/>
      <c r="T6" s="4"/>
      <c r="U6" s="4"/>
      <c r="V6" s="4"/>
      <c r="W6" s="4">
        <v>1</v>
      </c>
      <c r="X6" s="4"/>
      <c r="Y6" s="4"/>
      <c r="Z6" s="4"/>
      <c r="AA6" s="4"/>
      <c r="AB6" s="4"/>
      <c r="AC6" s="4"/>
      <c r="AD6" s="4">
        <v>1</v>
      </c>
      <c r="AE6" s="4"/>
      <c r="AF6" s="4"/>
      <c r="AG6" s="4"/>
      <c r="AH6" s="4"/>
      <c r="AI6" s="4"/>
      <c r="AJ6" s="10">
        <f t="shared" si="0"/>
        <v>4</v>
      </c>
      <c r="AK6" s="103"/>
      <c r="AL6" s="86"/>
      <c r="AM6" s="92"/>
      <c r="AN6" s="86"/>
    </row>
    <row r="7" spans="1:40" ht="32.4" customHeight="1">
      <c r="A7" s="88" t="s">
        <v>6</v>
      </c>
      <c r="B7" s="8" t="s">
        <v>8</v>
      </c>
      <c r="C7" s="8" t="s">
        <v>15</v>
      </c>
      <c r="D7" s="89">
        <v>25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0">
        <f>SUM(E7:AI7)</f>
        <v>0</v>
      </c>
      <c r="AK7" s="80">
        <f>SUM(D7+AJ7)-(AJ8)</f>
        <v>11</v>
      </c>
      <c r="AL7" s="86">
        <v>100</v>
      </c>
      <c r="AM7" s="91">
        <v>20</v>
      </c>
      <c r="AN7" s="86">
        <f>SUM(AL7-AM7)</f>
        <v>80</v>
      </c>
    </row>
    <row r="8" spans="1:40" ht="32.4" customHeight="1">
      <c r="A8" s="81"/>
      <c r="B8" s="8" t="s">
        <v>9</v>
      </c>
      <c r="C8" s="9" t="s">
        <v>2</v>
      </c>
      <c r="D8" s="90"/>
      <c r="E8" s="5">
        <v>1</v>
      </c>
      <c r="F8" s="5">
        <v>1</v>
      </c>
      <c r="G8" s="5"/>
      <c r="H8" s="5"/>
      <c r="I8" s="5">
        <v>1</v>
      </c>
      <c r="J8" s="5"/>
      <c r="K8" s="5">
        <v>1</v>
      </c>
      <c r="L8" s="5">
        <v>1</v>
      </c>
      <c r="M8" s="5"/>
      <c r="N8" s="5">
        <v>1</v>
      </c>
      <c r="O8" s="5"/>
      <c r="P8" s="5"/>
      <c r="Q8" s="5"/>
      <c r="R8" s="5">
        <v>1</v>
      </c>
      <c r="S8" s="5"/>
      <c r="T8" s="5"/>
      <c r="U8" s="5">
        <v>1</v>
      </c>
      <c r="V8" s="5"/>
      <c r="W8" s="5"/>
      <c r="X8" s="5"/>
      <c r="Y8" s="5">
        <v>1</v>
      </c>
      <c r="Z8" s="5"/>
      <c r="AA8" s="5"/>
      <c r="AB8" s="5"/>
      <c r="AC8" s="5">
        <v>1</v>
      </c>
      <c r="AD8" s="5"/>
      <c r="AE8" s="5"/>
      <c r="AF8" s="5">
        <v>1</v>
      </c>
      <c r="AG8" s="5">
        <v>1</v>
      </c>
      <c r="AH8" s="5">
        <v>1</v>
      </c>
      <c r="AI8" s="5">
        <v>1</v>
      </c>
      <c r="AJ8" s="10">
        <f>SUM(E8:AI8)</f>
        <v>14</v>
      </c>
      <c r="AK8" s="81"/>
      <c r="AL8" s="86"/>
      <c r="AM8" s="92"/>
      <c r="AN8" s="86"/>
    </row>
    <row r="9" spans="1:40" ht="32.4" customHeight="1">
      <c r="A9" s="76" t="s">
        <v>14</v>
      </c>
      <c r="B9" s="11" t="s">
        <v>8</v>
      </c>
      <c r="C9" s="18" t="s">
        <v>5</v>
      </c>
      <c r="D9" s="78">
        <v>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10">
        <f t="shared" si="0"/>
        <v>0</v>
      </c>
      <c r="AK9" s="80">
        <f>SUM(D9+AJ9)-SUM(AJ9:AJ10)</f>
        <v>2</v>
      </c>
    </row>
    <row r="10" spans="1:40" ht="32.4" customHeight="1">
      <c r="A10" s="77"/>
      <c r="B10" s="11" t="s">
        <v>9</v>
      </c>
      <c r="C10" s="18" t="s">
        <v>13</v>
      </c>
      <c r="D10" s="7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0">
        <f t="shared" si="0"/>
        <v>0</v>
      </c>
      <c r="AK10" s="81"/>
    </row>
    <row r="11" spans="1:40" ht="32.4" customHeight="1">
      <c r="A11" s="82" t="s">
        <v>12</v>
      </c>
      <c r="B11" s="15" t="s">
        <v>8</v>
      </c>
      <c r="C11" s="16" t="s">
        <v>12</v>
      </c>
      <c r="D11" s="84" t="e">
        <f>#REF!</f>
        <v>#REF!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0">
        <f t="shared" si="0"/>
        <v>0</v>
      </c>
      <c r="AK11" s="80" t="e">
        <f>SUM(D11+AJ11)-SUM(AJ11:AJ12)</f>
        <v>#REF!</v>
      </c>
    </row>
    <row r="12" spans="1:40" ht="32.4" customHeight="1">
      <c r="A12" s="83"/>
      <c r="B12" s="15" t="s">
        <v>9</v>
      </c>
      <c r="C12" s="16" t="s">
        <v>13</v>
      </c>
      <c r="D12" s="8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0">
        <f t="shared" si="0"/>
        <v>0</v>
      </c>
      <c r="AK12" s="81"/>
    </row>
  </sheetData>
  <mergeCells count="20">
    <mergeCell ref="A1:AK1"/>
    <mergeCell ref="A3:A6"/>
    <mergeCell ref="D3:D6"/>
    <mergeCell ref="AK3:AK6"/>
    <mergeCell ref="AL3:AL6"/>
    <mergeCell ref="AN3:AN6"/>
    <mergeCell ref="B4:B6"/>
    <mergeCell ref="A7:A8"/>
    <mergeCell ref="D7:D8"/>
    <mergeCell ref="AK7:AK8"/>
    <mergeCell ref="AL7:AL8"/>
    <mergeCell ref="AM7:AM8"/>
    <mergeCell ref="AN7:AN8"/>
    <mergeCell ref="AM3:AM6"/>
    <mergeCell ref="A9:A10"/>
    <mergeCell ref="D9:D10"/>
    <mergeCell ref="AK9:AK10"/>
    <mergeCell ref="A11:A12"/>
    <mergeCell ref="D11:D12"/>
    <mergeCell ref="AK11:AK12"/>
  </mergeCells>
  <conditionalFormatting sqref="AK3:AK6">
    <cfRule type="colorScale" priority="3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5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:AK8">
    <cfRule type="cellIs" dxfId="3" priority="1" operator="lessThan">
      <formula>2</formula>
    </cfRule>
  </conditionalFormatting>
  <conditionalFormatting sqref="AK7:AK12">
    <cfRule type="colorScale" priority="4">
      <colorScale>
        <cfvo type="num" val="5"/>
        <cfvo type="num" val="10"/>
        <cfvo type="num" val="15"/>
        <color rgb="FFFF0000"/>
        <color rgb="FFFFFF00"/>
        <color rgb="FF00B050"/>
      </colorScale>
    </cfRule>
  </conditionalFormatting>
  <pageMargins left="0.7" right="0.7" top="0.75" bottom="0.75" header="0.3" footer="0.3"/>
  <pageSetup scale="54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74F3-5216-4DF8-ADCD-E74F76BFE22E}">
  <sheetPr>
    <tabColor rgb="FFFFFF00"/>
    <pageSetUpPr fitToPage="1"/>
  </sheetPr>
  <dimension ref="A1:AN12"/>
  <sheetViews>
    <sheetView zoomScale="85" zoomScaleNormal="85" workbookViewId="0">
      <pane xSplit="3" topLeftCell="D1" activePane="topRight" state="frozen"/>
      <selection pane="topRight" activeCell="AK13" sqref="AK13"/>
    </sheetView>
  </sheetViews>
  <sheetFormatPr defaultColWidth="5.15625" defaultRowHeight="32.4" customHeight="1"/>
  <cols>
    <col min="1" max="1" width="12.62890625" style="1" customWidth="1"/>
    <col min="2" max="2" width="12.15625" style="1" customWidth="1"/>
    <col min="3" max="3" width="12" style="1" customWidth="1"/>
    <col min="4" max="4" width="18.1015625" style="1" customWidth="1"/>
    <col min="5" max="29" width="5.15625" style="1"/>
    <col min="30" max="30" width="5.47265625" style="1" bestFit="1" customWidth="1"/>
    <col min="31" max="35" width="5.15625" style="1"/>
    <col min="36" max="36" width="14.3671875" style="1" customWidth="1"/>
    <col min="37" max="37" width="24.62890625" style="1" customWidth="1"/>
    <col min="38" max="40" width="12.7890625" style="1" customWidth="1"/>
    <col min="41" max="16384" width="5.15625" style="1"/>
  </cols>
  <sheetData>
    <row r="1" spans="1:40" ht="32.4" customHeight="1">
      <c r="A1" s="94" t="s">
        <v>63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</row>
    <row r="2" spans="1:40" ht="67.3" customHeight="1">
      <c r="A2" s="13" t="s">
        <v>7</v>
      </c>
      <c r="B2" s="13"/>
      <c r="C2" s="13" t="s">
        <v>10</v>
      </c>
      <c r="D2" s="14" t="s">
        <v>64</v>
      </c>
      <c r="E2" s="21">
        <v>1</v>
      </c>
      <c r="F2" s="21">
        <v>2</v>
      </c>
      <c r="G2" s="13">
        <v>3</v>
      </c>
      <c r="H2" s="21">
        <v>4</v>
      </c>
      <c r="I2" s="20">
        <v>5</v>
      </c>
      <c r="J2" s="13">
        <v>6</v>
      </c>
      <c r="K2" s="21">
        <v>7</v>
      </c>
      <c r="L2" s="13">
        <v>8</v>
      </c>
      <c r="M2" s="13">
        <v>9</v>
      </c>
      <c r="N2" s="13">
        <v>10</v>
      </c>
      <c r="O2" s="13">
        <v>11</v>
      </c>
      <c r="P2" s="12">
        <v>12</v>
      </c>
      <c r="Q2" s="13">
        <v>13</v>
      </c>
      <c r="R2" s="13">
        <v>14</v>
      </c>
      <c r="S2" s="13">
        <v>15</v>
      </c>
      <c r="T2" s="13">
        <v>16</v>
      </c>
      <c r="U2" s="13">
        <v>17</v>
      </c>
      <c r="V2" s="13">
        <v>18</v>
      </c>
      <c r="W2" s="12">
        <v>19</v>
      </c>
      <c r="X2" s="13">
        <v>20</v>
      </c>
      <c r="Y2" s="13">
        <v>21</v>
      </c>
      <c r="Z2" s="13">
        <v>22</v>
      </c>
      <c r="AA2" s="13">
        <v>23</v>
      </c>
      <c r="AB2" s="13">
        <v>24</v>
      </c>
      <c r="AC2" s="13">
        <v>25</v>
      </c>
      <c r="AD2" s="12">
        <v>26</v>
      </c>
      <c r="AE2" s="13">
        <v>27</v>
      </c>
      <c r="AF2" s="13">
        <v>28</v>
      </c>
      <c r="AG2" s="13">
        <v>29</v>
      </c>
      <c r="AH2" s="13">
        <v>30</v>
      </c>
      <c r="AI2" s="13">
        <v>31</v>
      </c>
      <c r="AJ2" s="2" t="s">
        <v>4</v>
      </c>
      <c r="AK2" s="14" t="s">
        <v>19</v>
      </c>
      <c r="AL2" s="19" t="s">
        <v>16</v>
      </c>
      <c r="AM2" s="19" t="s">
        <v>17</v>
      </c>
      <c r="AN2" s="19" t="s">
        <v>18</v>
      </c>
    </row>
    <row r="3" spans="1:40" ht="32.4" customHeight="1">
      <c r="A3" s="95" t="s">
        <v>11</v>
      </c>
      <c r="B3" s="3" t="s">
        <v>8</v>
      </c>
      <c r="C3" s="17" t="s">
        <v>3</v>
      </c>
      <c r="D3" s="98">
        <v>19</v>
      </c>
      <c r="E3" s="4"/>
      <c r="F3" s="4"/>
      <c r="G3" s="4"/>
      <c r="H3" s="4"/>
      <c r="I3" s="4"/>
      <c r="J3" s="4"/>
      <c r="K3" s="4"/>
      <c r="L3" s="2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>
        <v>9</v>
      </c>
      <c r="AB3" s="4"/>
      <c r="AC3" s="4"/>
      <c r="AD3" s="4"/>
      <c r="AE3" s="4"/>
      <c r="AF3" s="4"/>
      <c r="AG3" s="4"/>
      <c r="AH3" s="4"/>
      <c r="AI3" s="4"/>
      <c r="AJ3" s="10">
        <f>SUM(E3:AI3)</f>
        <v>9</v>
      </c>
      <c r="AK3" s="101">
        <f>SUM(D3+AJ3)-SUM(AJ4:AJ6)</f>
        <v>17</v>
      </c>
      <c r="AL3" s="86">
        <v>100</v>
      </c>
      <c r="AM3" s="91">
        <v>53</v>
      </c>
      <c r="AN3" s="86">
        <v>47</v>
      </c>
    </row>
    <row r="4" spans="1:40" ht="32.4" customHeight="1">
      <c r="A4" s="96"/>
      <c r="B4" s="87" t="s">
        <v>9</v>
      </c>
      <c r="C4" s="3" t="s">
        <v>2</v>
      </c>
      <c r="D4" s="99"/>
      <c r="E4" s="4"/>
      <c r="F4" s="4"/>
      <c r="G4" s="4"/>
      <c r="H4" s="4"/>
      <c r="I4" s="4"/>
      <c r="J4" s="4"/>
      <c r="K4" s="4"/>
      <c r="L4" s="4">
        <v>1</v>
      </c>
      <c r="M4" s="4"/>
      <c r="N4" s="4"/>
      <c r="O4" s="4"/>
      <c r="P4" s="4">
        <v>1</v>
      </c>
      <c r="Q4" s="4"/>
      <c r="R4" s="4"/>
      <c r="S4" s="4"/>
      <c r="T4" s="4"/>
      <c r="U4" s="4">
        <v>1</v>
      </c>
      <c r="V4" s="4"/>
      <c r="W4" s="4"/>
      <c r="X4" s="4"/>
      <c r="Y4" s="4">
        <v>1</v>
      </c>
      <c r="Z4" s="4"/>
      <c r="AA4" s="4"/>
      <c r="AB4" s="4"/>
      <c r="AC4" s="4"/>
      <c r="AD4" s="4"/>
      <c r="AE4" s="4"/>
      <c r="AF4" s="4">
        <v>1</v>
      </c>
      <c r="AG4" s="4">
        <v>1</v>
      </c>
      <c r="AH4" s="4"/>
      <c r="AI4" s="4"/>
      <c r="AJ4" s="10">
        <f t="shared" ref="AJ4:AJ12" si="0">SUM(E4:AI4)</f>
        <v>6</v>
      </c>
      <c r="AK4" s="102"/>
      <c r="AL4" s="86"/>
      <c r="AM4" s="93"/>
      <c r="AN4" s="86"/>
    </row>
    <row r="5" spans="1:40" ht="32.4" customHeight="1">
      <c r="A5" s="96"/>
      <c r="B5" s="87"/>
      <c r="C5" s="3" t="s">
        <v>0</v>
      </c>
      <c r="D5" s="99"/>
      <c r="E5" s="4"/>
      <c r="F5" s="4"/>
      <c r="G5" s="4"/>
      <c r="H5" s="4">
        <v>1</v>
      </c>
      <c r="I5" s="4"/>
      <c r="J5" s="4"/>
      <c r="K5" s="4"/>
      <c r="L5" s="4"/>
      <c r="M5" s="4"/>
      <c r="N5" s="4">
        <v>1</v>
      </c>
      <c r="O5" s="4"/>
      <c r="P5" s="4"/>
      <c r="Q5" s="4"/>
      <c r="R5" s="4"/>
      <c r="S5" s="4"/>
      <c r="T5" s="4"/>
      <c r="U5" s="4"/>
      <c r="V5" s="4"/>
      <c r="W5" s="4"/>
      <c r="X5" s="4">
        <v>1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10">
        <f t="shared" si="0"/>
        <v>3</v>
      </c>
      <c r="AK5" s="102"/>
      <c r="AL5" s="86"/>
      <c r="AM5" s="93"/>
      <c r="AN5" s="86"/>
    </row>
    <row r="6" spans="1:40" ht="32.4" customHeight="1">
      <c r="A6" s="97"/>
      <c r="B6" s="87"/>
      <c r="C6" s="3" t="s">
        <v>1</v>
      </c>
      <c r="D6" s="100"/>
      <c r="E6" s="4"/>
      <c r="F6" s="4"/>
      <c r="G6" s="4"/>
      <c r="H6" s="4"/>
      <c r="I6" s="4">
        <v>1</v>
      </c>
      <c r="J6" s="4"/>
      <c r="K6" s="4"/>
      <c r="L6" s="4"/>
      <c r="M6" s="4"/>
      <c r="N6" s="4"/>
      <c r="O6" s="4"/>
      <c r="P6" s="4"/>
      <c r="Q6" s="4"/>
      <c r="R6" s="4"/>
      <c r="S6" s="4">
        <v>1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10">
        <f t="shared" si="0"/>
        <v>2</v>
      </c>
      <c r="AK6" s="103"/>
      <c r="AL6" s="86"/>
      <c r="AM6" s="92"/>
      <c r="AN6" s="86"/>
    </row>
    <row r="7" spans="1:40" ht="32.4" customHeight="1">
      <c r="A7" s="88" t="s">
        <v>6</v>
      </c>
      <c r="B7" s="8" t="s">
        <v>8</v>
      </c>
      <c r="C7" s="8" t="s">
        <v>15</v>
      </c>
      <c r="D7" s="89">
        <v>11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31</v>
      </c>
      <c r="AG7" s="5"/>
      <c r="AH7" s="5"/>
      <c r="AI7" s="5"/>
      <c r="AJ7" s="10">
        <f>SUM(E7:AI7)</f>
        <v>31</v>
      </c>
      <c r="AK7" s="80">
        <f>SUM(D7+AJ7)-(AJ8)</f>
        <v>30</v>
      </c>
      <c r="AL7" s="86">
        <v>100</v>
      </c>
      <c r="AM7" s="91">
        <v>20</v>
      </c>
      <c r="AN7" s="86">
        <f>SUM(AL7-AM7)</f>
        <v>80</v>
      </c>
    </row>
    <row r="8" spans="1:40" ht="32.4" customHeight="1">
      <c r="A8" s="81"/>
      <c r="B8" s="8" t="s">
        <v>9</v>
      </c>
      <c r="C8" s="9" t="s">
        <v>2</v>
      </c>
      <c r="D8" s="90"/>
      <c r="E8" s="5">
        <v>1</v>
      </c>
      <c r="F8" s="5"/>
      <c r="G8" s="5"/>
      <c r="H8" s="5">
        <v>1</v>
      </c>
      <c r="I8" s="5">
        <v>1</v>
      </c>
      <c r="J8" s="5">
        <v>1</v>
      </c>
      <c r="K8" s="5"/>
      <c r="L8" s="5"/>
      <c r="M8" s="5"/>
      <c r="N8" s="5">
        <v>1</v>
      </c>
      <c r="O8" s="5"/>
      <c r="P8" s="5">
        <v>1</v>
      </c>
      <c r="Q8" s="5">
        <v>1</v>
      </c>
      <c r="R8" s="5">
        <v>1</v>
      </c>
      <c r="S8" s="5"/>
      <c r="T8" s="5"/>
      <c r="U8" s="5">
        <v>1</v>
      </c>
      <c r="V8" s="5"/>
      <c r="W8" s="5"/>
      <c r="X8" s="5"/>
      <c r="Y8" s="5"/>
      <c r="Z8" s="5">
        <v>1</v>
      </c>
      <c r="AA8" s="5"/>
      <c r="AB8" s="5">
        <v>1</v>
      </c>
      <c r="AC8" s="5"/>
      <c r="AD8" s="5"/>
      <c r="AE8" s="5"/>
      <c r="AF8" s="5"/>
      <c r="AG8" s="5">
        <v>1</v>
      </c>
      <c r="AH8" s="5"/>
      <c r="AI8" s="5"/>
      <c r="AJ8" s="10">
        <f>SUM(E8:AI8)</f>
        <v>12</v>
      </c>
      <c r="AK8" s="81"/>
      <c r="AL8" s="86"/>
      <c r="AM8" s="92"/>
      <c r="AN8" s="86"/>
    </row>
    <row r="9" spans="1:40" ht="32.4" customHeight="1">
      <c r="A9" s="76" t="s">
        <v>14</v>
      </c>
      <c r="B9" s="11" t="s">
        <v>8</v>
      </c>
      <c r="C9" s="18" t="s">
        <v>5</v>
      </c>
      <c r="D9" s="78">
        <v>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10">
        <f t="shared" si="0"/>
        <v>0</v>
      </c>
      <c r="AK9" s="80">
        <f>SUM(D9+AJ9)-SUM(AJ9:AJ10)</f>
        <v>2</v>
      </c>
    </row>
    <row r="10" spans="1:40" ht="32.4" customHeight="1">
      <c r="A10" s="77"/>
      <c r="B10" s="11" t="s">
        <v>9</v>
      </c>
      <c r="C10" s="18" t="s">
        <v>13</v>
      </c>
      <c r="D10" s="7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0">
        <f t="shared" si="0"/>
        <v>0</v>
      </c>
      <c r="AK10" s="81"/>
    </row>
    <row r="11" spans="1:40" ht="32.4" customHeight="1">
      <c r="A11" s="82" t="s">
        <v>12</v>
      </c>
      <c r="B11" s="15" t="s">
        <v>8</v>
      </c>
      <c r="C11" s="16" t="s">
        <v>12</v>
      </c>
      <c r="D11" s="78">
        <v>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0">
        <f t="shared" si="0"/>
        <v>0</v>
      </c>
      <c r="AK11" s="80">
        <f>SUM(D11+AJ11)-SUM(AJ11:AJ12)</f>
        <v>3</v>
      </c>
    </row>
    <row r="12" spans="1:40" ht="32.4" customHeight="1">
      <c r="A12" s="83"/>
      <c r="B12" s="15" t="s">
        <v>9</v>
      </c>
      <c r="C12" s="16" t="s">
        <v>13</v>
      </c>
      <c r="D12" s="7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0">
        <f t="shared" si="0"/>
        <v>0</v>
      </c>
      <c r="AK12" s="81"/>
    </row>
  </sheetData>
  <mergeCells count="20">
    <mergeCell ref="A9:A10"/>
    <mergeCell ref="D9:D10"/>
    <mergeCell ref="AK9:AK10"/>
    <mergeCell ref="A11:A12"/>
    <mergeCell ref="D11:D12"/>
    <mergeCell ref="AK11:AK12"/>
    <mergeCell ref="AN3:AN6"/>
    <mergeCell ref="B4:B6"/>
    <mergeCell ref="A7:A8"/>
    <mergeCell ref="D7:D8"/>
    <mergeCell ref="AK7:AK8"/>
    <mergeCell ref="AL7:AL8"/>
    <mergeCell ref="AM7:AM8"/>
    <mergeCell ref="AN7:AN8"/>
    <mergeCell ref="AM3:AM6"/>
    <mergeCell ref="A1:AK1"/>
    <mergeCell ref="A3:A6"/>
    <mergeCell ref="D3:D6"/>
    <mergeCell ref="AK3:AK6"/>
    <mergeCell ref="AL3:AL6"/>
  </mergeCells>
  <conditionalFormatting sqref="AK3:AK6">
    <cfRule type="colorScale" priority="1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3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:AK12">
    <cfRule type="colorScale" priority="2">
      <colorScale>
        <cfvo type="num" val="5"/>
        <cfvo type="num" val="10"/>
        <cfvo type="num" val="15"/>
        <color rgb="FFFF0000"/>
        <color rgb="FFFFFF00"/>
        <color rgb="FF00B050"/>
      </colorScale>
    </cfRule>
  </conditionalFormatting>
  <pageMargins left="0.7" right="0.7" top="0.75" bottom="0.75" header="0.3" footer="0.3"/>
  <pageSetup scale="5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6F47-1E2E-44D2-9FC9-75E287191E34}">
  <sheetPr>
    <tabColor rgb="FFFFFF00"/>
    <pageSetUpPr fitToPage="1"/>
  </sheetPr>
  <dimension ref="A1:AN12"/>
  <sheetViews>
    <sheetView zoomScale="85" zoomScaleNormal="85" workbookViewId="0">
      <pane xSplit="3" topLeftCell="D1" activePane="topRight" state="frozen"/>
      <selection pane="topRight" activeCell="D11" sqref="D11:D12"/>
    </sheetView>
  </sheetViews>
  <sheetFormatPr defaultColWidth="5.15625" defaultRowHeight="32.4" customHeight="1"/>
  <cols>
    <col min="1" max="1" width="12.62890625" style="1" customWidth="1"/>
    <col min="2" max="2" width="12.15625" style="1" customWidth="1"/>
    <col min="3" max="3" width="12" style="1" customWidth="1"/>
    <col min="4" max="4" width="18.1015625" style="1" customWidth="1"/>
    <col min="5" max="29" width="5.15625" style="1"/>
    <col min="30" max="30" width="5.47265625" style="1" bestFit="1" customWidth="1"/>
    <col min="31" max="35" width="5.15625" style="1"/>
    <col min="36" max="36" width="14.3671875" style="1" customWidth="1"/>
    <col min="37" max="37" width="24.62890625" style="1" customWidth="1"/>
    <col min="38" max="40" width="12.7890625" style="1" customWidth="1"/>
    <col min="41" max="16384" width="5.15625" style="1"/>
  </cols>
  <sheetData>
    <row r="1" spans="1:40" ht="32.4" customHeight="1">
      <c r="A1" s="94" t="s">
        <v>65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</row>
    <row r="2" spans="1:40" ht="67.3" customHeight="1">
      <c r="A2" s="13" t="s">
        <v>7</v>
      </c>
      <c r="B2" s="13"/>
      <c r="C2" s="13" t="s">
        <v>10</v>
      </c>
      <c r="D2" s="14" t="s">
        <v>66</v>
      </c>
      <c r="E2" s="21">
        <v>1</v>
      </c>
      <c r="F2" s="21">
        <v>2</v>
      </c>
      <c r="G2" s="12">
        <v>3</v>
      </c>
      <c r="H2" s="21">
        <v>4</v>
      </c>
      <c r="I2" s="21">
        <v>5</v>
      </c>
      <c r="J2" s="13">
        <v>6</v>
      </c>
      <c r="K2" s="21">
        <v>7</v>
      </c>
      <c r="L2" s="13">
        <v>8</v>
      </c>
      <c r="M2" s="13">
        <v>9</v>
      </c>
      <c r="N2" s="12">
        <v>10</v>
      </c>
      <c r="O2" s="13">
        <v>11</v>
      </c>
      <c r="P2" s="13">
        <v>12</v>
      </c>
      <c r="Q2" s="13">
        <v>13</v>
      </c>
      <c r="R2" s="13">
        <v>14</v>
      </c>
      <c r="S2" s="13">
        <v>15</v>
      </c>
      <c r="T2" s="13">
        <v>16</v>
      </c>
      <c r="U2" s="12">
        <v>17</v>
      </c>
      <c r="V2" s="13">
        <v>18</v>
      </c>
      <c r="W2" s="13">
        <v>19</v>
      </c>
      <c r="X2" s="13">
        <v>20</v>
      </c>
      <c r="Y2" s="13">
        <v>21</v>
      </c>
      <c r="Z2" s="13">
        <v>22</v>
      </c>
      <c r="AA2" s="13">
        <v>23</v>
      </c>
      <c r="AB2" s="12">
        <v>24</v>
      </c>
      <c r="AC2" s="13">
        <v>25</v>
      </c>
      <c r="AD2" s="13">
        <v>26</v>
      </c>
      <c r="AE2" s="13">
        <v>27</v>
      </c>
      <c r="AF2" s="13">
        <v>28</v>
      </c>
      <c r="AG2" s="13">
        <v>29</v>
      </c>
      <c r="AH2" s="13">
        <v>30</v>
      </c>
      <c r="AI2" s="12">
        <v>31</v>
      </c>
      <c r="AJ2" s="2" t="s">
        <v>4</v>
      </c>
      <c r="AK2" s="14" t="s">
        <v>19</v>
      </c>
      <c r="AL2" s="19" t="s">
        <v>16</v>
      </c>
      <c r="AM2" s="19" t="s">
        <v>17</v>
      </c>
      <c r="AN2" s="19" t="s">
        <v>18</v>
      </c>
    </row>
    <row r="3" spans="1:40" ht="32.4" customHeight="1">
      <c r="A3" s="95" t="s">
        <v>11</v>
      </c>
      <c r="B3" s="3" t="s">
        <v>8</v>
      </c>
      <c r="C3" s="17" t="s">
        <v>3</v>
      </c>
      <c r="D3" s="98">
        <v>17</v>
      </c>
      <c r="E3" s="4"/>
      <c r="F3" s="4"/>
      <c r="G3" s="4"/>
      <c r="H3" s="4"/>
      <c r="I3" s="4"/>
      <c r="J3" s="4"/>
      <c r="K3" s="4"/>
      <c r="L3" s="2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0">
        <f>SUM(E3:AI3)</f>
        <v>0</v>
      </c>
      <c r="AK3" s="101">
        <f>SUM(D3+AJ3)-SUM(AJ4:AJ6)</f>
        <v>0</v>
      </c>
      <c r="AL3" s="86">
        <v>100</v>
      </c>
      <c r="AM3" s="91">
        <v>53</v>
      </c>
      <c r="AN3" s="86">
        <v>47</v>
      </c>
    </row>
    <row r="4" spans="1:40" ht="32.4" customHeight="1">
      <c r="A4" s="96"/>
      <c r="B4" s="87" t="s">
        <v>9</v>
      </c>
      <c r="C4" s="3" t="s">
        <v>2</v>
      </c>
      <c r="D4" s="99"/>
      <c r="E4" s="4">
        <v>1</v>
      </c>
      <c r="F4" s="4"/>
      <c r="G4" s="4"/>
      <c r="H4" s="4"/>
      <c r="I4" s="4"/>
      <c r="J4" s="4"/>
      <c r="K4" s="4"/>
      <c r="L4" s="4">
        <v>1</v>
      </c>
      <c r="M4" s="4"/>
      <c r="N4" s="4"/>
      <c r="O4" s="4"/>
      <c r="P4" s="4"/>
      <c r="Q4" s="4">
        <v>1</v>
      </c>
      <c r="R4" s="4"/>
      <c r="S4" s="4"/>
      <c r="T4" s="4"/>
      <c r="U4" s="4"/>
      <c r="V4" s="4"/>
      <c r="W4" s="4"/>
      <c r="X4" s="4">
        <v>1</v>
      </c>
      <c r="Y4" s="4"/>
      <c r="Z4" s="4"/>
      <c r="AA4" s="4"/>
      <c r="AB4" s="4"/>
      <c r="AC4" s="4"/>
      <c r="AD4" s="4"/>
      <c r="AE4" s="4">
        <v>1</v>
      </c>
      <c r="AF4" s="4"/>
      <c r="AG4" s="4"/>
      <c r="AH4" s="4"/>
      <c r="AI4" s="4">
        <v>1</v>
      </c>
      <c r="AJ4" s="10">
        <f t="shared" ref="AJ4:AJ12" si="0">SUM(E4:AI4)</f>
        <v>6</v>
      </c>
      <c r="AK4" s="102"/>
      <c r="AL4" s="86"/>
      <c r="AM4" s="93"/>
      <c r="AN4" s="86"/>
    </row>
    <row r="5" spans="1:40" ht="32.4" customHeight="1">
      <c r="A5" s="96"/>
      <c r="B5" s="87"/>
      <c r="C5" s="3" t="s">
        <v>0</v>
      </c>
      <c r="D5" s="99"/>
      <c r="E5" s="4"/>
      <c r="F5" s="4"/>
      <c r="G5" s="4">
        <v>3</v>
      </c>
      <c r="H5" s="4"/>
      <c r="I5" s="4"/>
      <c r="J5" s="4"/>
      <c r="K5" s="4"/>
      <c r="L5" s="4">
        <v>1</v>
      </c>
      <c r="M5" s="4"/>
      <c r="N5" s="4"/>
      <c r="O5" s="4"/>
      <c r="P5" s="4"/>
      <c r="Q5" s="4"/>
      <c r="R5" s="4"/>
      <c r="S5" s="4"/>
      <c r="T5" s="4"/>
      <c r="U5" s="4"/>
      <c r="V5" s="4">
        <v>1</v>
      </c>
      <c r="W5" s="4"/>
      <c r="X5" s="4"/>
      <c r="Y5" s="4"/>
      <c r="Z5" s="4"/>
      <c r="AA5" s="4"/>
      <c r="AB5" s="4"/>
      <c r="AC5" s="4"/>
      <c r="AD5" s="4"/>
      <c r="AE5" s="4">
        <v>1</v>
      </c>
      <c r="AF5" s="4"/>
      <c r="AG5" s="4"/>
      <c r="AH5" s="4"/>
      <c r="AI5" s="4"/>
      <c r="AJ5" s="10">
        <f t="shared" si="0"/>
        <v>6</v>
      </c>
      <c r="AK5" s="102"/>
      <c r="AL5" s="86"/>
      <c r="AM5" s="93"/>
      <c r="AN5" s="86"/>
    </row>
    <row r="6" spans="1:40" ht="32.4" customHeight="1">
      <c r="A6" s="97"/>
      <c r="B6" s="87"/>
      <c r="C6" s="3" t="s">
        <v>1</v>
      </c>
      <c r="D6" s="100"/>
      <c r="E6" s="4"/>
      <c r="F6" s="4"/>
      <c r="G6" s="4"/>
      <c r="H6" s="4"/>
      <c r="I6" s="4"/>
      <c r="J6" s="4">
        <v>1</v>
      </c>
      <c r="K6" s="4"/>
      <c r="L6" s="4"/>
      <c r="M6" s="4">
        <v>1</v>
      </c>
      <c r="N6" s="4"/>
      <c r="O6" s="4"/>
      <c r="P6" s="4">
        <v>1</v>
      </c>
      <c r="Q6" s="4"/>
      <c r="R6" s="4"/>
      <c r="S6" s="4"/>
      <c r="T6" s="4"/>
      <c r="U6" s="4"/>
      <c r="V6" s="4"/>
      <c r="W6" s="4"/>
      <c r="X6" s="4"/>
      <c r="Y6" s="4"/>
      <c r="Z6" s="4"/>
      <c r="AA6" s="4">
        <v>1</v>
      </c>
      <c r="AB6" s="4"/>
      <c r="AC6" s="4"/>
      <c r="AD6" s="4"/>
      <c r="AE6" s="4"/>
      <c r="AF6" s="4"/>
      <c r="AG6" s="4"/>
      <c r="AH6" s="4"/>
      <c r="AI6" s="4">
        <v>1</v>
      </c>
      <c r="AJ6" s="10">
        <f t="shared" si="0"/>
        <v>5</v>
      </c>
      <c r="AK6" s="103"/>
      <c r="AL6" s="86"/>
      <c r="AM6" s="92"/>
      <c r="AN6" s="86"/>
    </row>
    <row r="7" spans="1:40" ht="32.4" customHeight="1">
      <c r="A7" s="88" t="s">
        <v>6</v>
      </c>
      <c r="B7" s="8" t="s">
        <v>8</v>
      </c>
      <c r="C7" s="8" t="s">
        <v>15</v>
      </c>
      <c r="D7" s="89">
        <v>30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0">
        <f>SUM(E7:AI7)</f>
        <v>0</v>
      </c>
      <c r="AK7" s="80">
        <f>SUM(D7+AJ7)-(AJ8)</f>
        <v>16</v>
      </c>
      <c r="AL7" s="86">
        <v>100</v>
      </c>
      <c r="AM7" s="91">
        <v>51</v>
      </c>
      <c r="AN7" s="86">
        <f>SUM(AL7-AM7)</f>
        <v>49</v>
      </c>
    </row>
    <row r="8" spans="1:40" ht="32.4" customHeight="1">
      <c r="A8" s="81"/>
      <c r="B8" s="8" t="s">
        <v>9</v>
      </c>
      <c r="C8" s="9" t="s">
        <v>2</v>
      </c>
      <c r="D8" s="90"/>
      <c r="E8" s="5"/>
      <c r="F8" s="5">
        <v>1</v>
      </c>
      <c r="G8" s="5"/>
      <c r="H8" s="5"/>
      <c r="I8" s="5">
        <v>1</v>
      </c>
      <c r="J8" s="5"/>
      <c r="K8" s="5">
        <v>1</v>
      </c>
      <c r="L8" s="5">
        <v>1</v>
      </c>
      <c r="M8" s="5"/>
      <c r="N8" s="5"/>
      <c r="O8" s="5">
        <v>1</v>
      </c>
      <c r="P8" s="5"/>
      <c r="Q8" s="5">
        <v>1</v>
      </c>
      <c r="R8" s="5"/>
      <c r="S8" s="5"/>
      <c r="T8" s="5">
        <v>1</v>
      </c>
      <c r="U8" s="5">
        <v>1</v>
      </c>
      <c r="V8" s="5">
        <v>1</v>
      </c>
      <c r="W8" s="5"/>
      <c r="X8" s="5"/>
      <c r="Y8" s="5"/>
      <c r="Z8" s="5"/>
      <c r="AA8" s="5">
        <v>1</v>
      </c>
      <c r="AB8" s="5"/>
      <c r="AC8" s="5">
        <v>1</v>
      </c>
      <c r="AD8" s="5">
        <v>1</v>
      </c>
      <c r="AE8" s="5">
        <v>1</v>
      </c>
      <c r="AF8" s="5"/>
      <c r="AG8" s="5"/>
      <c r="AH8" s="5"/>
      <c r="AI8" s="5">
        <v>1</v>
      </c>
      <c r="AJ8" s="10">
        <f>SUM(E8:AI8)</f>
        <v>14</v>
      </c>
      <c r="AK8" s="81"/>
      <c r="AL8" s="86"/>
      <c r="AM8" s="92"/>
      <c r="AN8" s="86"/>
    </row>
    <row r="9" spans="1:40" ht="32.4" customHeight="1">
      <c r="A9" s="76" t="s">
        <v>14</v>
      </c>
      <c r="B9" s="11" t="s">
        <v>8</v>
      </c>
      <c r="C9" s="18" t="s">
        <v>5</v>
      </c>
      <c r="D9" s="78">
        <v>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10">
        <f>SUM(E9:AI9)</f>
        <v>0</v>
      </c>
      <c r="AK9" s="80">
        <f>SUM(D9+AJ9)-SUM(AJ9:AJ10)</f>
        <v>2</v>
      </c>
    </row>
    <row r="10" spans="1:40" ht="32.4" customHeight="1">
      <c r="A10" s="77"/>
      <c r="B10" s="11" t="s">
        <v>9</v>
      </c>
      <c r="C10" s="18" t="s">
        <v>13</v>
      </c>
      <c r="D10" s="7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0">
        <f>SUM(E10:AI10)</f>
        <v>0</v>
      </c>
      <c r="AK10" s="81"/>
    </row>
    <row r="11" spans="1:40" ht="32.4" customHeight="1">
      <c r="A11" s="82" t="s">
        <v>12</v>
      </c>
      <c r="B11" s="15" t="s">
        <v>8</v>
      </c>
      <c r="C11" s="16" t="s">
        <v>12</v>
      </c>
      <c r="D11" s="78">
        <v>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0">
        <f t="shared" si="0"/>
        <v>0</v>
      </c>
      <c r="AK11" s="80">
        <f>SUM(D11+AJ11)-SUM(AJ11:AJ12)</f>
        <v>3</v>
      </c>
    </row>
    <row r="12" spans="1:40" ht="32.4" customHeight="1">
      <c r="A12" s="83"/>
      <c r="B12" s="15" t="s">
        <v>9</v>
      </c>
      <c r="C12" s="16" t="s">
        <v>13</v>
      </c>
      <c r="D12" s="7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0">
        <f t="shared" si="0"/>
        <v>0</v>
      </c>
      <c r="AK12" s="81"/>
    </row>
  </sheetData>
  <mergeCells count="20">
    <mergeCell ref="A1:AK1"/>
    <mergeCell ref="A3:A6"/>
    <mergeCell ref="D3:D6"/>
    <mergeCell ref="AK3:AK6"/>
    <mergeCell ref="AL3:AL6"/>
    <mergeCell ref="AN3:AN6"/>
    <mergeCell ref="B4:B6"/>
    <mergeCell ref="A7:A8"/>
    <mergeCell ref="D7:D8"/>
    <mergeCell ref="AK7:AK8"/>
    <mergeCell ref="AL7:AL8"/>
    <mergeCell ref="AM7:AM8"/>
    <mergeCell ref="AN7:AN8"/>
    <mergeCell ref="AM3:AM6"/>
    <mergeCell ref="A9:A10"/>
    <mergeCell ref="D9:D10"/>
    <mergeCell ref="AK9:AK10"/>
    <mergeCell ref="A11:A12"/>
    <mergeCell ref="D11:D12"/>
    <mergeCell ref="AK11:AK12"/>
  </mergeCells>
  <conditionalFormatting sqref="AK3:AK6">
    <cfRule type="colorScale" priority="1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3">
      <colorScale>
        <cfvo type="num" val="5"/>
        <cfvo type="num" val="10"/>
        <cfvo type="num" val="15"/>
        <color rgb="FFFF0000"/>
        <color rgb="FFFFFF00"/>
        <color rgb="FF00B05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7:AK12">
    <cfRule type="colorScale" priority="2">
      <colorScale>
        <cfvo type="num" val="5"/>
        <cfvo type="num" val="10"/>
        <cfvo type="num" val="15"/>
        <color rgb="FFFF0000"/>
        <color rgb="FFFFFF00"/>
        <color rgb="FF00B050"/>
      </colorScale>
    </cfRule>
  </conditionalFormatting>
  <pageMargins left="0.7" right="0.7" top="0.75" bottom="0.75" header="0.3" footer="0.3"/>
  <pageSetup scale="54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8BAC-D12E-4461-9A66-5BEDA9DF536B}">
  <sheetPr>
    <tabColor rgb="FFFF0000"/>
    <pageSetUpPr fitToPage="1"/>
  </sheetPr>
  <dimension ref="A1:AF39"/>
  <sheetViews>
    <sheetView zoomScaleNormal="100" workbookViewId="0">
      <pane xSplit="2" topLeftCell="C1" activePane="topRight" state="frozen"/>
      <selection pane="topRight" activeCell="P6" sqref="P6"/>
    </sheetView>
  </sheetViews>
  <sheetFormatPr defaultColWidth="5.15625" defaultRowHeight="32.4" customHeight="1"/>
  <cols>
    <col min="1" max="1" width="12.62890625" style="1" customWidth="1"/>
    <col min="2" max="2" width="13.26171875" style="1" customWidth="1"/>
    <col min="3" max="3" width="5.15625" style="1"/>
    <col min="4" max="4" width="6.15625" style="1" bestFit="1" customWidth="1"/>
    <col min="5" max="14" width="5.15625" style="1"/>
    <col min="15" max="16" width="14.3671875" style="1" customWidth="1"/>
    <col min="17" max="17" width="30.1015625" style="1" customWidth="1"/>
    <col min="18" max="20" width="12.7890625" style="1" hidden="1" customWidth="1"/>
    <col min="21" max="16384" width="5.15625" style="1"/>
  </cols>
  <sheetData>
    <row r="1" spans="1:20" ht="32.4" customHeight="1">
      <c r="A1" s="94" t="s">
        <v>52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20" ht="67.3" customHeight="1">
      <c r="A2" s="13" t="s">
        <v>7</v>
      </c>
      <c r="B2" s="13" t="s">
        <v>10</v>
      </c>
      <c r="C2" s="13" t="s">
        <v>25</v>
      </c>
      <c r="D2" s="13" t="s">
        <v>26</v>
      </c>
      <c r="E2" s="13" t="s">
        <v>27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32</v>
      </c>
      <c r="K2" s="13" t="s">
        <v>33</v>
      </c>
      <c r="L2" s="13" t="s">
        <v>34</v>
      </c>
      <c r="M2" s="13" t="s">
        <v>35</v>
      </c>
      <c r="N2" s="13" t="s">
        <v>36</v>
      </c>
      <c r="O2" s="2" t="s">
        <v>4</v>
      </c>
      <c r="P2" s="2" t="s">
        <v>61</v>
      </c>
      <c r="Q2" s="28" t="s">
        <v>37</v>
      </c>
      <c r="R2" s="19" t="s">
        <v>16</v>
      </c>
      <c r="S2" s="19" t="s">
        <v>17</v>
      </c>
      <c r="T2" s="19" t="s">
        <v>18</v>
      </c>
    </row>
    <row r="3" spans="1:20" ht="32.4" customHeight="1">
      <c r="A3" s="95" t="s">
        <v>11</v>
      </c>
      <c r="B3" s="3" t="s">
        <v>2</v>
      </c>
      <c r="C3" s="4">
        <f>Jan!AJ4</f>
        <v>5</v>
      </c>
      <c r="D3" s="4">
        <f>Fed!AJ4</f>
        <v>6</v>
      </c>
      <c r="E3" s="4">
        <f>Mar!AJ4</f>
        <v>8</v>
      </c>
      <c r="F3" s="4">
        <f>Apr!AJ4</f>
        <v>6</v>
      </c>
      <c r="G3" s="4">
        <f>May!AJ4</f>
        <v>6</v>
      </c>
      <c r="H3" s="4"/>
      <c r="I3" s="4"/>
      <c r="J3" s="4"/>
      <c r="K3" s="4"/>
      <c r="L3" s="4"/>
      <c r="M3" s="4"/>
      <c r="N3" s="4"/>
      <c r="O3" s="10">
        <f t="shared" ref="O3:O9" si="0">SUM(C3:N3)</f>
        <v>31</v>
      </c>
      <c r="P3" s="68"/>
      <c r="Q3" s="29">
        <f>AVERAGE(C3:N3)</f>
        <v>6.2</v>
      </c>
      <c r="R3" s="86">
        <v>100</v>
      </c>
      <c r="S3" s="91">
        <v>68</v>
      </c>
      <c r="T3" s="86">
        <f>SUM(R3-S3)</f>
        <v>32</v>
      </c>
    </row>
    <row r="4" spans="1:20" ht="32.4" customHeight="1">
      <c r="A4" s="96"/>
      <c r="B4" s="3" t="s">
        <v>0</v>
      </c>
      <c r="C4" s="4">
        <f>Jan!AJ5</f>
        <v>4</v>
      </c>
      <c r="D4" s="4">
        <f>Fed!AJ5</f>
        <v>3</v>
      </c>
      <c r="E4" s="4">
        <f>Mar!AJ5</f>
        <v>4</v>
      </c>
      <c r="F4" s="4">
        <f>Apr!AJ5</f>
        <v>3</v>
      </c>
      <c r="G4" s="4">
        <f>May!AJ5</f>
        <v>6</v>
      </c>
      <c r="H4" s="4"/>
      <c r="I4" s="4"/>
      <c r="J4" s="4"/>
      <c r="K4" s="4"/>
      <c r="L4" s="4"/>
      <c r="M4" s="4"/>
      <c r="N4" s="4"/>
      <c r="O4" s="10">
        <f t="shared" si="0"/>
        <v>20</v>
      </c>
      <c r="P4" s="69"/>
      <c r="Q4" s="29">
        <f t="shared" ref="Q4:Q9" si="1">AVERAGE(C4:N4)</f>
        <v>4</v>
      </c>
      <c r="R4" s="86"/>
      <c r="S4" s="93"/>
      <c r="T4" s="86"/>
    </row>
    <row r="5" spans="1:20" ht="32.4" customHeight="1">
      <c r="A5" s="96"/>
      <c r="B5" s="3" t="s">
        <v>1</v>
      </c>
      <c r="C5" s="4">
        <f>Jan!AJ6</f>
        <v>4</v>
      </c>
      <c r="D5" s="4">
        <f>Fed!AJ6</f>
        <v>4</v>
      </c>
      <c r="E5" s="4">
        <f>Mar!AJ6</f>
        <v>4</v>
      </c>
      <c r="F5" s="4">
        <f>Apr!AJ6</f>
        <v>2</v>
      </c>
      <c r="G5" s="4">
        <f>May!AJ6</f>
        <v>5</v>
      </c>
      <c r="H5" s="4"/>
      <c r="I5" s="4"/>
      <c r="J5" s="4"/>
      <c r="K5" s="4"/>
      <c r="L5" s="4"/>
      <c r="M5" s="4"/>
      <c r="N5" s="4"/>
      <c r="O5" s="10">
        <f t="shared" si="0"/>
        <v>19</v>
      </c>
      <c r="P5" s="69"/>
      <c r="Q5" s="29">
        <f t="shared" si="1"/>
        <v>3.8</v>
      </c>
      <c r="R5" s="86"/>
      <c r="S5" s="93"/>
      <c r="T5" s="86"/>
    </row>
    <row r="6" spans="1:20" ht="32.4" customHeight="1">
      <c r="A6" s="97"/>
      <c r="B6" s="30" t="s">
        <v>4</v>
      </c>
      <c r="C6" s="31">
        <f>SUM(C3:C5)</f>
        <v>13</v>
      </c>
      <c r="D6" s="31">
        <f t="shared" ref="D6:N6" si="2">SUM(D3:D5)</f>
        <v>13</v>
      </c>
      <c r="E6" s="31">
        <f t="shared" si="2"/>
        <v>16</v>
      </c>
      <c r="F6" s="31">
        <f t="shared" si="2"/>
        <v>11</v>
      </c>
      <c r="G6" s="31">
        <f t="shared" si="2"/>
        <v>17</v>
      </c>
      <c r="H6" s="31">
        <f t="shared" si="2"/>
        <v>0</v>
      </c>
      <c r="I6" s="31">
        <f t="shared" si="2"/>
        <v>0</v>
      </c>
      <c r="J6" s="31">
        <f t="shared" si="2"/>
        <v>0</v>
      </c>
      <c r="K6" s="31">
        <f t="shared" si="2"/>
        <v>0</v>
      </c>
      <c r="L6" s="31">
        <f t="shared" si="2"/>
        <v>0</v>
      </c>
      <c r="M6" s="31">
        <f t="shared" si="2"/>
        <v>0</v>
      </c>
      <c r="N6" s="31">
        <f t="shared" si="2"/>
        <v>0</v>
      </c>
      <c r="O6" s="32">
        <f t="shared" si="0"/>
        <v>70</v>
      </c>
      <c r="P6" s="70">
        <f>May!AK3</f>
        <v>0</v>
      </c>
      <c r="Q6" s="29">
        <f>AVERAGE(C6:N6)</f>
        <v>5.833333333333333</v>
      </c>
      <c r="R6" s="86"/>
      <c r="S6" s="92"/>
      <c r="T6" s="86"/>
    </row>
    <row r="7" spans="1:20" ht="32.4" customHeight="1">
      <c r="A7" s="26" t="s">
        <v>6</v>
      </c>
      <c r="B7" s="9" t="s">
        <v>2</v>
      </c>
      <c r="C7" s="5">
        <f>Jan!AJ8</f>
        <v>14</v>
      </c>
      <c r="D7" s="5">
        <f>Fed!AJ8</f>
        <v>10</v>
      </c>
      <c r="E7" s="5">
        <f>Mar!AJ8</f>
        <v>14</v>
      </c>
      <c r="F7" s="5">
        <f>Apr!AJ8</f>
        <v>12</v>
      </c>
      <c r="G7" s="5">
        <f>May!AJ8</f>
        <v>14</v>
      </c>
      <c r="H7" s="5"/>
      <c r="I7" s="5"/>
      <c r="J7" s="5"/>
      <c r="K7" s="5"/>
      <c r="L7" s="5"/>
      <c r="M7" s="5"/>
      <c r="N7" s="5"/>
      <c r="O7" s="10">
        <f>SUM(C7:N7)</f>
        <v>64</v>
      </c>
      <c r="P7" s="70">
        <f>May!AK7</f>
        <v>16</v>
      </c>
      <c r="Q7" s="29">
        <f t="shared" si="1"/>
        <v>12.8</v>
      </c>
      <c r="R7" s="25">
        <v>100</v>
      </c>
      <c r="S7" s="27">
        <v>96</v>
      </c>
      <c r="T7" s="25">
        <f>SUM(R7-S7)</f>
        <v>4</v>
      </c>
    </row>
    <row r="8" spans="1:20" ht="32.4" customHeight="1">
      <c r="A8" s="23" t="s">
        <v>14</v>
      </c>
      <c r="B8" s="18" t="s">
        <v>13</v>
      </c>
      <c r="C8" s="33">
        <f>Jan!AJ10</f>
        <v>0</v>
      </c>
      <c r="D8" s="33">
        <f>Fed!AJ10</f>
        <v>0</v>
      </c>
      <c r="E8" s="33">
        <f>Mar!AJ10</f>
        <v>0</v>
      </c>
      <c r="F8" s="33"/>
      <c r="G8" s="33"/>
      <c r="H8" s="33"/>
      <c r="I8" s="33"/>
      <c r="J8" s="33"/>
      <c r="K8" s="33"/>
      <c r="L8" s="33"/>
      <c r="M8" s="33"/>
      <c r="N8" s="33"/>
      <c r="O8" s="10">
        <f t="shared" si="0"/>
        <v>0</v>
      </c>
      <c r="P8" s="70">
        <f>Apr!AJ10</f>
        <v>0</v>
      </c>
      <c r="Q8" s="29">
        <f t="shared" si="1"/>
        <v>0</v>
      </c>
    </row>
    <row r="9" spans="1:20" ht="32.4" customHeight="1">
      <c r="A9" s="24" t="s">
        <v>12</v>
      </c>
      <c r="B9" s="16" t="s">
        <v>13</v>
      </c>
      <c r="C9" s="34">
        <f>Jan!AJ12</f>
        <v>0</v>
      </c>
      <c r="D9" s="34">
        <f>Fed!AJ12</f>
        <v>0</v>
      </c>
      <c r="E9" s="34">
        <f>Mar!AJ12</f>
        <v>0</v>
      </c>
      <c r="F9" s="34"/>
      <c r="G9" s="34"/>
      <c r="H9" s="34"/>
      <c r="I9" s="34"/>
      <c r="J9" s="34"/>
      <c r="K9" s="34"/>
      <c r="L9" s="34"/>
      <c r="M9" s="34"/>
      <c r="N9" s="34"/>
      <c r="O9" s="10">
        <f t="shared" si="0"/>
        <v>0</v>
      </c>
      <c r="P9" s="71">
        <v>3</v>
      </c>
      <c r="Q9" s="29">
        <f t="shared" si="1"/>
        <v>0</v>
      </c>
    </row>
    <row r="11" spans="1:20" ht="32.4" customHeight="1">
      <c r="A11" s="94" t="s">
        <v>52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1:20" ht="32.4" customHeight="1">
      <c r="A12" s="13" t="s">
        <v>7</v>
      </c>
      <c r="B12" s="13" t="s">
        <v>10</v>
      </c>
      <c r="C12" s="13" t="s">
        <v>25</v>
      </c>
      <c r="D12" s="13" t="s">
        <v>26</v>
      </c>
      <c r="E12" s="13" t="s">
        <v>27</v>
      </c>
      <c r="F12" s="13" t="s">
        <v>28</v>
      </c>
      <c r="G12" s="13" t="s">
        <v>29</v>
      </c>
      <c r="H12" s="13" t="s">
        <v>30</v>
      </c>
      <c r="I12" s="13" t="s">
        <v>31</v>
      </c>
      <c r="J12" s="13" t="s">
        <v>32</v>
      </c>
      <c r="K12" s="13" t="s">
        <v>33</v>
      </c>
      <c r="L12" s="13" t="s">
        <v>34</v>
      </c>
      <c r="M12" s="13" t="s">
        <v>35</v>
      </c>
      <c r="N12" s="13" t="s">
        <v>36</v>
      </c>
      <c r="O12" s="2" t="s">
        <v>4</v>
      </c>
      <c r="P12" s="2"/>
      <c r="Q12" s="28" t="s">
        <v>37</v>
      </c>
    </row>
    <row r="13" spans="1:20" ht="32.4" customHeight="1">
      <c r="A13" s="35" t="s">
        <v>11</v>
      </c>
      <c r="B13" s="30"/>
      <c r="C13" s="31">
        <f>C6</f>
        <v>13</v>
      </c>
      <c r="D13" s="31">
        <f t="shared" ref="D13:N13" si="3">D6</f>
        <v>13</v>
      </c>
      <c r="E13" s="31">
        <f t="shared" si="3"/>
        <v>16</v>
      </c>
      <c r="F13" s="31">
        <f t="shared" si="3"/>
        <v>11</v>
      </c>
      <c r="G13" s="31">
        <f t="shared" si="3"/>
        <v>17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31">
        <f t="shared" si="3"/>
        <v>0</v>
      </c>
      <c r="O13" s="32">
        <f>SUM(C13:N13)</f>
        <v>70</v>
      </c>
      <c r="P13" s="67"/>
      <c r="Q13" s="29">
        <f>AVERAGE(C13:N13)</f>
        <v>5.833333333333333</v>
      </c>
    </row>
    <row r="14" spans="1:20" ht="32.4" customHeight="1">
      <c r="A14" s="26" t="s">
        <v>6</v>
      </c>
      <c r="B14" s="9" t="s">
        <v>2</v>
      </c>
      <c r="C14" s="5">
        <f>C7</f>
        <v>14</v>
      </c>
      <c r="D14" s="5">
        <f t="shared" ref="D14:N14" si="4">D7</f>
        <v>10</v>
      </c>
      <c r="E14" s="5">
        <f t="shared" si="4"/>
        <v>14</v>
      </c>
      <c r="F14" s="5">
        <f t="shared" si="4"/>
        <v>12</v>
      </c>
      <c r="G14" s="5">
        <f t="shared" si="4"/>
        <v>14</v>
      </c>
      <c r="H14" s="5">
        <f t="shared" si="4"/>
        <v>0</v>
      </c>
      <c r="I14" s="5">
        <f t="shared" si="4"/>
        <v>0</v>
      </c>
      <c r="J14" s="5">
        <f t="shared" si="4"/>
        <v>0</v>
      </c>
      <c r="K14" s="5">
        <f t="shared" si="4"/>
        <v>0</v>
      </c>
      <c r="L14" s="5">
        <f t="shared" si="4"/>
        <v>0</v>
      </c>
      <c r="M14" s="5">
        <f t="shared" si="4"/>
        <v>0</v>
      </c>
      <c r="N14" s="5">
        <f t="shared" si="4"/>
        <v>0</v>
      </c>
      <c r="O14" s="10">
        <f>SUM(C14:N14)</f>
        <v>64</v>
      </c>
      <c r="P14" s="66"/>
      <c r="Q14" s="29">
        <f t="shared" ref="Q14:Q16" si="5">AVERAGE(C14:N14)</f>
        <v>5.333333333333333</v>
      </c>
    </row>
    <row r="15" spans="1:20" ht="32.4" customHeight="1">
      <c r="A15" s="23" t="s">
        <v>14</v>
      </c>
      <c r="B15" s="18" t="s">
        <v>13</v>
      </c>
      <c r="C15" s="33">
        <v>0</v>
      </c>
      <c r="D15" s="33">
        <v>1</v>
      </c>
      <c r="E15" s="33">
        <v>0</v>
      </c>
      <c r="F15" s="33">
        <v>1</v>
      </c>
      <c r="G15" s="33">
        <v>0</v>
      </c>
      <c r="H15" s="33">
        <v>1</v>
      </c>
      <c r="I15" s="33">
        <v>0</v>
      </c>
      <c r="J15" s="33">
        <v>1</v>
      </c>
      <c r="K15" s="33">
        <v>0</v>
      </c>
      <c r="L15" s="33">
        <v>1</v>
      </c>
      <c r="M15" s="33">
        <v>0</v>
      </c>
      <c r="N15" s="33">
        <v>1</v>
      </c>
      <c r="O15" s="10">
        <f>SUM(C15:N15)</f>
        <v>6</v>
      </c>
      <c r="P15" s="66"/>
      <c r="Q15" s="29">
        <f t="shared" si="5"/>
        <v>0.5</v>
      </c>
    </row>
    <row r="16" spans="1:20" ht="32.4" customHeight="1">
      <c r="A16" s="24" t="s">
        <v>12</v>
      </c>
      <c r="B16" s="16" t="s">
        <v>13</v>
      </c>
      <c r="C16" s="34">
        <v>0</v>
      </c>
      <c r="D16" s="34">
        <v>1</v>
      </c>
      <c r="E16" s="34">
        <v>0</v>
      </c>
      <c r="F16" s="34">
        <v>1</v>
      </c>
      <c r="G16" s="34">
        <v>0</v>
      </c>
      <c r="H16" s="34">
        <v>1</v>
      </c>
      <c r="I16" s="34">
        <v>0</v>
      </c>
      <c r="J16" s="34">
        <v>1</v>
      </c>
      <c r="K16" s="34">
        <v>0</v>
      </c>
      <c r="L16" s="34">
        <v>1</v>
      </c>
      <c r="M16" s="34">
        <v>0</v>
      </c>
      <c r="N16" s="34">
        <v>1</v>
      </c>
      <c r="O16" s="10">
        <f>SUM(C16:N16)</f>
        <v>6</v>
      </c>
      <c r="P16" s="66"/>
      <c r="Q16" s="29">
        <f t="shared" si="5"/>
        <v>0.5</v>
      </c>
    </row>
    <row r="18" spans="1:32" ht="32.4" customHeight="1">
      <c r="C18" s="36" t="s">
        <v>38</v>
      </c>
    </row>
    <row r="19" spans="1:32" ht="32.4" customHeight="1">
      <c r="A19" s="13" t="s">
        <v>7</v>
      </c>
      <c r="B19" s="13" t="s">
        <v>10</v>
      </c>
      <c r="C19" s="120" t="s">
        <v>39</v>
      </c>
      <c r="D19" s="126"/>
      <c r="E19" s="121"/>
      <c r="F19" s="120" t="s">
        <v>40</v>
      </c>
      <c r="G19" s="126"/>
      <c r="H19" s="121"/>
      <c r="I19" s="120" t="s">
        <v>41</v>
      </c>
      <c r="J19" s="126"/>
      <c r="K19" s="121"/>
      <c r="L19" s="120" t="s">
        <v>42</v>
      </c>
      <c r="M19" s="126"/>
      <c r="N19" s="121"/>
      <c r="O19" s="2" t="s">
        <v>4</v>
      </c>
      <c r="P19" s="2"/>
      <c r="Q19" s="28" t="s">
        <v>43</v>
      </c>
    </row>
    <row r="20" spans="1:32" ht="32.4" customHeight="1">
      <c r="A20" s="35" t="s">
        <v>11</v>
      </c>
      <c r="B20" s="37"/>
      <c r="C20" s="118">
        <f>SUM(C6:E6)</f>
        <v>42</v>
      </c>
      <c r="D20" s="125"/>
      <c r="E20" s="119"/>
      <c r="F20" s="118">
        <f>SUM(F6:H6)</f>
        <v>28</v>
      </c>
      <c r="G20" s="125"/>
      <c r="H20" s="119"/>
      <c r="I20" s="118">
        <f>SUM(I6:K6)</f>
        <v>0</v>
      </c>
      <c r="J20" s="125"/>
      <c r="K20" s="119"/>
      <c r="L20" s="118">
        <f>SUM(L6:N6)</f>
        <v>0</v>
      </c>
      <c r="M20" s="125"/>
      <c r="N20" s="119"/>
      <c r="O20" s="112">
        <f>SUM(C20:N21)</f>
        <v>134</v>
      </c>
      <c r="P20" s="38"/>
      <c r="Q20" s="114">
        <f>AF20</f>
        <v>33.5</v>
      </c>
      <c r="V20" s="1">
        <f>SUM(C20:E21)</f>
        <v>80</v>
      </c>
      <c r="W20" s="1">
        <f>SUM(F20:H21)</f>
        <v>54</v>
      </c>
      <c r="X20" s="1">
        <f>SUM(I20:K21)</f>
        <v>0</v>
      </c>
      <c r="Y20" s="1">
        <f>SUM(L20:N21)</f>
        <v>0</v>
      </c>
      <c r="AE20" s="1">
        <f>SUM(V20:Y20)</f>
        <v>134</v>
      </c>
      <c r="AF20" s="1">
        <f>AVERAGE(V20:Y20)</f>
        <v>33.5</v>
      </c>
    </row>
    <row r="21" spans="1:32" ht="32.4" customHeight="1">
      <c r="A21" s="26" t="s">
        <v>6</v>
      </c>
      <c r="B21" s="39"/>
      <c r="C21" s="122">
        <f>SUM(C7:E7)</f>
        <v>38</v>
      </c>
      <c r="D21" s="123"/>
      <c r="E21" s="124"/>
      <c r="F21" s="122">
        <f>SUM(F7:H7)</f>
        <v>26</v>
      </c>
      <c r="G21" s="123"/>
      <c r="H21" s="124"/>
      <c r="I21" s="122">
        <f>SUM(I7:K7)</f>
        <v>0</v>
      </c>
      <c r="J21" s="123"/>
      <c r="K21" s="124"/>
      <c r="L21" s="122">
        <f>SUM(L7:N7)</f>
        <v>0</v>
      </c>
      <c r="M21" s="123"/>
      <c r="N21" s="124"/>
      <c r="O21" s="113"/>
      <c r="P21" s="40"/>
      <c r="Q21" s="115"/>
    </row>
    <row r="22" spans="1:32" ht="32.4" customHeight="1">
      <c r="A22" s="23" t="s">
        <v>14</v>
      </c>
      <c r="B22" s="41"/>
      <c r="C22" s="109">
        <f>SUM(C8:E8)</f>
        <v>0</v>
      </c>
      <c r="D22" s="110"/>
      <c r="E22" s="111"/>
      <c r="F22" s="109">
        <f>SUM(F8:H8)</f>
        <v>0</v>
      </c>
      <c r="G22" s="110"/>
      <c r="H22" s="111"/>
      <c r="I22" s="109">
        <f>SUM(I8:K8)</f>
        <v>0</v>
      </c>
      <c r="J22" s="110"/>
      <c r="K22" s="111"/>
      <c r="L22" s="109">
        <f>SUM(L8:N8)</f>
        <v>0</v>
      </c>
      <c r="M22" s="110"/>
      <c r="N22" s="111"/>
      <c r="O22" s="42">
        <f>SUM(C22:N23)</f>
        <v>0</v>
      </c>
      <c r="P22" s="42"/>
      <c r="Q22" s="41"/>
    </row>
    <row r="23" spans="1:32" ht="32.4" customHeight="1">
      <c r="A23" s="24" t="s">
        <v>12</v>
      </c>
      <c r="B23" s="41"/>
      <c r="C23" s="109">
        <f>SUM(C9:E9)</f>
        <v>0</v>
      </c>
      <c r="D23" s="110"/>
      <c r="E23" s="111"/>
      <c r="F23" s="109">
        <f>SUM(F9:H9)</f>
        <v>0</v>
      </c>
      <c r="G23" s="110"/>
      <c r="H23" s="111"/>
      <c r="I23" s="109">
        <f>SUM(I9:K9)</f>
        <v>0</v>
      </c>
      <c r="J23" s="110"/>
      <c r="K23" s="111"/>
      <c r="L23" s="109">
        <f>SUM(L9:N9)</f>
        <v>0</v>
      </c>
      <c r="M23" s="110"/>
      <c r="N23" s="111"/>
      <c r="O23" s="42">
        <f>SUM(C23:N24)</f>
        <v>0</v>
      </c>
      <c r="P23" s="42"/>
      <c r="Q23" s="41"/>
    </row>
    <row r="25" spans="1:32" ht="32.4" customHeight="1">
      <c r="C25" s="36" t="s">
        <v>44</v>
      </c>
    </row>
    <row r="26" spans="1:32" ht="32.4" customHeight="1">
      <c r="A26" s="13" t="s">
        <v>7</v>
      </c>
      <c r="B26" s="13" t="s">
        <v>10</v>
      </c>
      <c r="C26" s="120" t="s">
        <v>39</v>
      </c>
      <c r="D26" s="121"/>
      <c r="E26" s="120" t="s">
        <v>40</v>
      </c>
      <c r="F26" s="121"/>
      <c r="G26" s="120" t="s">
        <v>41</v>
      </c>
      <c r="H26" s="121"/>
      <c r="I26" s="120" t="s">
        <v>42</v>
      </c>
      <c r="J26" s="121"/>
      <c r="K26" s="120" t="s">
        <v>45</v>
      </c>
      <c r="L26" s="121"/>
      <c r="M26" s="120" t="s">
        <v>46</v>
      </c>
      <c r="N26" s="121"/>
      <c r="O26" s="2" t="s">
        <v>4</v>
      </c>
      <c r="P26" s="2"/>
      <c r="Q26" s="28" t="s">
        <v>47</v>
      </c>
    </row>
    <row r="27" spans="1:32" ht="32.4" customHeight="1">
      <c r="A27" s="35" t="s">
        <v>11</v>
      </c>
      <c r="B27" s="37"/>
      <c r="C27" s="118">
        <f>SUM(C6:D6)</f>
        <v>26</v>
      </c>
      <c r="D27" s="119"/>
      <c r="E27" s="118">
        <f t="shared" ref="E27:E28" si="6">SUM(E6:F6)</f>
        <v>27</v>
      </c>
      <c r="F27" s="119"/>
      <c r="G27" s="118">
        <f t="shared" ref="G27:G28" si="7">SUM(G6:H6)</f>
        <v>17</v>
      </c>
      <c r="H27" s="119"/>
      <c r="I27" s="118">
        <f t="shared" ref="I27:I28" si="8">SUM(I6:J6)</f>
        <v>0</v>
      </c>
      <c r="J27" s="119"/>
      <c r="K27" s="118">
        <f t="shared" ref="K27:K28" si="9">SUM(K6:L6)</f>
        <v>0</v>
      </c>
      <c r="L27" s="119"/>
      <c r="M27" s="118">
        <f t="shared" ref="M27:M28" si="10">SUM(M6:N6)</f>
        <v>0</v>
      </c>
      <c r="N27" s="119"/>
      <c r="O27" s="112">
        <f>SUM(C27:N28)</f>
        <v>134</v>
      </c>
      <c r="P27" s="38"/>
      <c r="Q27" s="114">
        <f>AF27</f>
        <v>22.333333333333332</v>
      </c>
      <c r="V27" s="1">
        <f>SUM(C27:D28)</f>
        <v>50</v>
      </c>
      <c r="W27" s="1">
        <f>SUM(E27:F28)</f>
        <v>53</v>
      </c>
      <c r="X27" s="1">
        <f>SUM(G27:H28)</f>
        <v>31</v>
      </c>
      <c r="Y27" s="1">
        <f>SUM(I27:J28)</f>
        <v>0</v>
      </c>
      <c r="Z27" s="1">
        <f>SUM(K27:L28)</f>
        <v>0</v>
      </c>
      <c r="AA27" s="1">
        <f>SUM(M27:N28)</f>
        <v>0</v>
      </c>
      <c r="AE27" s="1">
        <f>SUM(V27:AA27)</f>
        <v>134</v>
      </c>
      <c r="AF27" s="1">
        <f>AVERAGE(V27:AA27)</f>
        <v>22.333333333333332</v>
      </c>
    </row>
    <row r="28" spans="1:32" ht="32.4" customHeight="1">
      <c r="A28" s="26" t="s">
        <v>6</v>
      </c>
      <c r="B28" s="39"/>
      <c r="C28" s="116">
        <f>SUM(C7:D7)</f>
        <v>24</v>
      </c>
      <c r="D28" s="117"/>
      <c r="E28" s="116">
        <f t="shared" si="6"/>
        <v>26</v>
      </c>
      <c r="F28" s="117"/>
      <c r="G28" s="116">
        <f t="shared" si="7"/>
        <v>14</v>
      </c>
      <c r="H28" s="117"/>
      <c r="I28" s="116">
        <f t="shared" si="8"/>
        <v>0</v>
      </c>
      <c r="J28" s="117"/>
      <c r="K28" s="116">
        <f t="shared" si="9"/>
        <v>0</v>
      </c>
      <c r="L28" s="117"/>
      <c r="M28" s="116">
        <f t="shared" si="10"/>
        <v>0</v>
      </c>
      <c r="N28" s="117"/>
      <c r="O28" s="113"/>
      <c r="P28" s="40"/>
      <c r="Q28" s="115"/>
    </row>
    <row r="29" spans="1:32" ht="32.4" customHeight="1">
      <c r="A29" s="23" t="s">
        <v>14</v>
      </c>
      <c r="B29" s="41"/>
      <c r="C29" s="109">
        <f>SUM(C22:E22)</f>
        <v>0</v>
      </c>
      <c r="D29" s="110"/>
      <c r="E29" s="111"/>
      <c r="F29" s="109">
        <f>SUM(F22:H22)</f>
        <v>0</v>
      </c>
      <c r="G29" s="110"/>
      <c r="H29" s="111"/>
      <c r="I29" s="109">
        <f>SUM(I22:K22)</f>
        <v>0</v>
      </c>
      <c r="J29" s="110"/>
      <c r="K29" s="111"/>
      <c r="L29" s="109">
        <f>SUM(L22:N22)</f>
        <v>0</v>
      </c>
      <c r="M29" s="110"/>
      <c r="N29" s="111"/>
      <c r="O29" s="42">
        <f>SUM(C29:N30)</f>
        <v>0</v>
      </c>
      <c r="P29" s="42"/>
      <c r="Q29" s="41"/>
    </row>
    <row r="30" spans="1:32" ht="32.4" customHeight="1">
      <c r="A30" s="24" t="s">
        <v>12</v>
      </c>
      <c r="B30" s="41"/>
      <c r="C30" s="109">
        <f>SUM(C23:E23)</f>
        <v>0</v>
      </c>
      <c r="D30" s="110"/>
      <c r="E30" s="111"/>
      <c r="F30" s="109">
        <f>SUM(F23:H23)</f>
        <v>0</v>
      </c>
      <c r="G30" s="110"/>
      <c r="H30" s="111"/>
      <c r="I30" s="109">
        <f>SUM(I23:K23)</f>
        <v>0</v>
      </c>
      <c r="J30" s="110"/>
      <c r="K30" s="111"/>
      <c r="L30" s="109">
        <f>SUM(L23:N23)</f>
        <v>0</v>
      </c>
      <c r="M30" s="110"/>
      <c r="N30" s="111"/>
      <c r="O30" s="42">
        <f>SUM(C30:N31)</f>
        <v>0</v>
      </c>
      <c r="P30" s="42"/>
      <c r="Q30" s="41"/>
    </row>
    <row r="32" spans="1:32" ht="32.4" customHeight="1">
      <c r="C32" s="104" t="s">
        <v>48</v>
      </c>
      <c r="D32" s="104"/>
      <c r="E32" s="104" t="s">
        <v>49</v>
      </c>
      <c r="F32" s="104"/>
      <c r="G32" s="104"/>
      <c r="H32" s="104" t="s">
        <v>50</v>
      </c>
      <c r="I32" s="104"/>
      <c r="J32" s="104"/>
    </row>
    <row r="33" spans="1:17" ht="32.4" customHeight="1">
      <c r="A33" s="35" t="s">
        <v>11</v>
      </c>
      <c r="C33" s="104">
        <v>16</v>
      </c>
      <c r="D33" s="104"/>
      <c r="E33" s="104">
        <v>350</v>
      </c>
      <c r="F33" s="104"/>
      <c r="G33" s="104"/>
      <c r="H33" s="108">
        <v>6650</v>
      </c>
      <c r="I33" s="108"/>
      <c r="J33" s="108"/>
      <c r="K33" s="108">
        <f>(E33*C33)+(H33*C33)</f>
        <v>112000</v>
      </c>
      <c r="L33" s="108"/>
      <c r="M33" s="108"/>
    </row>
    <row r="34" spans="1:17" ht="32.4" customHeight="1">
      <c r="A34" s="26" t="s">
        <v>6</v>
      </c>
      <c r="C34" s="104">
        <v>16</v>
      </c>
      <c r="D34" s="104"/>
      <c r="E34" s="104">
        <v>350</v>
      </c>
      <c r="F34" s="104"/>
      <c r="G34" s="104"/>
      <c r="H34" s="108">
        <v>6835</v>
      </c>
      <c r="I34" s="108"/>
      <c r="J34" s="108"/>
      <c r="K34" s="108">
        <f>(E34*C34)+(H34*C34)</f>
        <v>114960</v>
      </c>
      <c r="L34" s="108"/>
      <c r="M34" s="108"/>
    </row>
    <row r="35" spans="1:17" ht="32.4" customHeight="1">
      <c r="A35" s="23" t="s">
        <v>14</v>
      </c>
      <c r="C35" s="104">
        <v>2</v>
      </c>
      <c r="D35" s="104"/>
      <c r="E35" s="104">
        <v>350</v>
      </c>
      <c r="F35" s="104"/>
      <c r="G35" s="104"/>
      <c r="H35" s="105">
        <v>6650</v>
      </c>
      <c r="I35" s="105"/>
      <c r="J35" s="105"/>
      <c r="K35" s="104">
        <f>E35*C35</f>
        <v>700</v>
      </c>
      <c r="L35" s="104"/>
      <c r="M35" s="104"/>
    </row>
    <row r="36" spans="1:17" ht="32.4" customHeight="1">
      <c r="A36" s="24" t="s">
        <v>12</v>
      </c>
      <c r="C36" s="104">
        <v>2</v>
      </c>
      <c r="D36" s="104"/>
      <c r="E36" s="104">
        <v>350</v>
      </c>
      <c r="F36" s="104"/>
      <c r="G36" s="104"/>
      <c r="H36" s="105">
        <v>19230</v>
      </c>
      <c r="I36" s="105"/>
      <c r="J36" s="105"/>
      <c r="K36" s="104">
        <f>E36*C36</f>
        <v>700</v>
      </c>
      <c r="L36" s="104"/>
      <c r="M36" s="104"/>
    </row>
    <row r="37" spans="1:17" ht="32.4" customHeight="1">
      <c r="K37" s="106">
        <f>SUM(K33:M36)</f>
        <v>228360</v>
      </c>
      <c r="L37" s="107"/>
      <c r="M37" s="107"/>
      <c r="O37" s="43">
        <v>568500</v>
      </c>
      <c r="P37" s="43"/>
      <c r="Q37" s="44">
        <f>O37-K37</f>
        <v>340140</v>
      </c>
    </row>
    <row r="39" spans="1:17" ht="32.4" customHeight="1">
      <c r="C39" s="1" t="s">
        <v>51</v>
      </c>
    </row>
  </sheetData>
  <mergeCells count="76">
    <mergeCell ref="A1:Q1"/>
    <mergeCell ref="A3:A6"/>
    <mergeCell ref="R3:R6"/>
    <mergeCell ref="S3:S6"/>
    <mergeCell ref="T3:T6"/>
    <mergeCell ref="C19:E19"/>
    <mergeCell ref="F19:H19"/>
    <mergeCell ref="I19:K19"/>
    <mergeCell ref="L19:N19"/>
    <mergeCell ref="A11:Q11"/>
    <mergeCell ref="Q20:Q21"/>
    <mergeCell ref="C21:E21"/>
    <mergeCell ref="F21:H21"/>
    <mergeCell ref="I21:K21"/>
    <mergeCell ref="L21:N21"/>
    <mergeCell ref="C20:E20"/>
    <mergeCell ref="F20:H20"/>
    <mergeCell ref="I20:K20"/>
    <mergeCell ref="L20:N20"/>
    <mergeCell ref="O20:O21"/>
    <mergeCell ref="M26:N26"/>
    <mergeCell ref="C22:E22"/>
    <mergeCell ref="F22:H22"/>
    <mergeCell ref="I22:K22"/>
    <mergeCell ref="L22:N22"/>
    <mergeCell ref="C23:E23"/>
    <mergeCell ref="F23:H23"/>
    <mergeCell ref="I23:K23"/>
    <mergeCell ref="L23:N23"/>
    <mergeCell ref="C26:D26"/>
    <mergeCell ref="E26:F26"/>
    <mergeCell ref="G26:H26"/>
    <mergeCell ref="I26:J26"/>
    <mergeCell ref="K26:L26"/>
    <mergeCell ref="O27:O28"/>
    <mergeCell ref="Q27:Q28"/>
    <mergeCell ref="C28:D28"/>
    <mergeCell ref="E28:F28"/>
    <mergeCell ref="G28:H28"/>
    <mergeCell ref="I28:J28"/>
    <mergeCell ref="K28:L28"/>
    <mergeCell ref="M28:N28"/>
    <mergeCell ref="C27:D27"/>
    <mergeCell ref="E27:F27"/>
    <mergeCell ref="G27:H27"/>
    <mergeCell ref="I27:J27"/>
    <mergeCell ref="K27:L27"/>
    <mergeCell ref="M27:N27"/>
    <mergeCell ref="C29:E29"/>
    <mergeCell ref="F29:H29"/>
    <mergeCell ref="I29:K29"/>
    <mergeCell ref="L29:N29"/>
    <mergeCell ref="C30:E30"/>
    <mergeCell ref="F30:H30"/>
    <mergeCell ref="I30:K30"/>
    <mergeCell ref="L30:N30"/>
    <mergeCell ref="C35:D35"/>
    <mergeCell ref="E35:G35"/>
    <mergeCell ref="H35:J35"/>
    <mergeCell ref="K35:M35"/>
    <mergeCell ref="C32:D32"/>
    <mergeCell ref="E32:G32"/>
    <mergeCell ref="H32:J32"/>
    <mergeCell ref="C33:D33"/>
    <mergeCell ref="E33:G33"/>
    <mergeCell ref="H33:J33"/>
    <mergeCell ref="K33:M33"/>
    <mergeCell ref="C34:D34"/>
    <mergeCell ref="E34:G34"/>
    <mergeCell ref="H34:J34"/>
    <mergeCell ref="K34:M34"/>
    <mergeCell ref="C36:D36"/>
    <mergeCell ref="E36:G36"/>
    <mergeCell ref="H36:J36"/>
    <mergeCell ref="K36:M36"/>
    <mergeCell ref="K37:M37"/>
  </mergeCells>
  <pageMargins left="0.7" right="0.7" top="0" bottom="0" header="0" footer="0"/>
  <pageSetup scale="47" orientation="portrait" r:id="rId1"/>
  <headerFooter>
    <oddFooter>&amp;Z&amp;F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59D1-FADC-4EBD-A1F8-B9C3AE4C1C55}">
  <sheetPr>
    <tabColor rgb="FFFF0000"/>
    <pageSetUpPr fitToPage="1"/>
  </sheetPr>
  <dimension ref="A1:P48"/>
  <sheetViews>
    <sheetView showGridLines="0" tabSelected="1" zoomScale="85" zoomScaleNormal="85" workbookViewId="0">
      <selection activeCell="Q7" sqref="Q7"/>
    </sheetView>
  </sheetViews>
  <sheetFormatPr defaultRowHeight="14.4"/>
  <sheetData>
    <row r="1" spans="1:16" ht="14.7" thickBot="1"/>
    <row r="2" spans="1:16" ht="14.7" thickBot="1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</row>
    <row r="3" spans="1:16" ht="20.7" thickBot="1">
      <c r="B3" s="48"/>
      <c r="C3" s="73" t="s">
        <v>53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5"/>
      <c r="P3" s="49"/>
    </row>
    <row r="4" spans="1:16" ht="14.7" thickBot="1">
      <c r="B4" s="48"/>
      <c r="P4" s="49"/>
    </row>
    <row r="5" spans="1:16" ht="24" customHeight="1" thickBot="1">
      <c r="B5" s="48"/>
      <c r="C5" s="50" t="s">
        <v>54</v>
      </c>
      <c r="D5" s="51">
        <f>F5+F7</f>
        <v>54</v>
      </c>
      <c r="E5" s="52" t="s">
        <v>55</v>
      </c>
      <c r="F5" s="51">
        <f>I5+K5+M5+O5</f>
        <v>21</v>
      </c>
      <c r="H5" s="53" t="s">
        <v>11</v>
      </c>
      <c r="I5" s="54">
        <f>'TOTAL (A)'!P6</f>
        <v>0</v>
      </c>
      <c r="J5" s="55" t="s">
        <v>6</v>
      </c>
      <c r="K5" s="56">
        <f>'TOTAL (A)'!P7</f>
        <v>16</v>
      </c>
      <c r="L5" s="53" t="s">
        <v>14</v>
      </c>
      <c r="M5" s="57">
        <v>2</v>
      </c>
      <c r="N5" s="58" t="s">
        <v>12</v>
      </c>
      <c r="O5" s="59">
        <f>'TOTAL (A)'!P9</f>
        <v>3</v>
      </c>
      <c r="P5" s="49"/>
    </row>
    <row r="6" spans="1:16" ht="14.7" thickBot="1">
      <c r="B6" s="48"/>
      <c r="E6" s="60"/>
      <c r="P6" s="49"/>
    </row>
    <row r="7" spans="1:16" ht="24" customHeight="1" thickBot="1">
      <c r="B7" s="48"/>
      <c r="E7" s="52" t="s">
        <v>56</v>
      </c>
      <c r="F7" s="51">
        <f>I7+K7+M7+O7</f>
        <v>33</v>
      </c>
      <c r="I7" s="51">
        <f>May!D3+May!AJ3-May!AK3</f>
        <v>17</v>
      </c>
      <c r="K7" s="51">
        <f>May!D7+May!AJ7-May!AJ8</f>
        <v>16</v>
      </c>
      <c r="L7" s="53"/>
      <c r="M7" s="72"/>
      <c r="O7" s="72"/>
      <c r="P7" s="49"/>
    </row>
    <row r="8" spans="1:16">
      <c r="B8" s="48"/>
      <c r="P8" s="49"/>
    </row>
    <row r="9" spans="1:16">
      <c r="B9" s="48"/>
      <c r="P9" s="49"/>
    </row>
    <row r="10" spans="1:16">
      <c r="B10" s="48"/>
      <c r="P10" s="49"/>
    </row>
    <row r="11" spans="1:16">
      <c r="B11" s="48"/>
      <c r="P11" s="49"/>
    </row>
    <row r="12" spans="1:16">
      <c r="B12" s="48"/>
      <c r="P12" s="49"/>
    </row>
    <row r="13" spans="1:16">
      <c r="A13" s="49"/>
      <c r="P13" s="49"/>
    </row>
    <row r="14" spans="1:16">
      <c r="B14" s="48"/>
      <c r="P14" s="49"/>
    </row>
    <row r="15" spans="1:16">
      <c r="B15" s="48"/>
      <c r="P15" s="49"/>
    </row>
    <row r="16" spans="1:16">
      <c r="B16" s="48"/>
      <c r="P16" s="49"/>
    </row>
    <row r="17" spans="2:16">
      <c r="B17" s="48"/>
      <c r="P17" s="49"/>
    </row>
    <row r="18" spans="2:16">
      <c r="B18" s="48"/>
      <c r="P18" s="49"/>
    </row>
    <row r="19" spans="2:16">
      <c r="B19" s="48"/>
      <c r="P19" s="49"/>
    </row>
    <row r="20" spans="2:16">
      <c r="B20" s="48"/>
      <c r="P20" s="49"/>
    </row>
    <row r="21" spans="2:16">
      <c r="B21" s="48"/>
      <c r="P21" s="49"/>
    </row>
    <row r="22" spans="2:16">
      <c r="B22" s="48"/>
      <c r="P22" s="49"/>
    </row>
    <row r="23" spans="2:16">
      <c r="B23" s="48"/>
      <c r="P23" s="49"/>
    </row>
    <row r="24" spans="2:16">
      <c r="B24" s="48"/>
      <c r="P24" s="49"/>
    </row>
    <row r="25" spans="2:16">
      <c r="B25" s="48"/>
      <c r="P25" s="49"/>
    </row>
    <row r="26" spans="2:16">
      <c r="B26" s="48"/>
      <c r="P26" s="49"/>
    </row>
    <row r="27" spans="2:16">
      <c r="B27" s="48"/>
      <c r="P27" s="49"/>
    </row>
    <row r="28" spans="2:16">
      <c r="B28" s="48"/>
      <c r="P28" s="49"/>
    </row>
    <row r="29" spans="2:16">
      <c r="B29" s="48"/>
      <c r="P29" s="49"/>
    </row>
    <row r="30" spans="2:16">
      <c r="B30" s="48"/>
      <c r="P30" s="49"/>
    </row>
    <row r="31" spans="2:16">
      <c r="B31" s="48"/>
      <c r="P31" s="49"/>
    </row>
    <row r="32" spans="2:16">
      <c r="B32" s="48"/>
      <c r="P32" s="49"/>
    </row>
    <row r="33" spans="2:16">
      <c r="B33" s="48"/>
      <c r="P33" s="49"/>
    </row>
    <row r="34" spans="2:16">
      <c r="B34" s="48"/>
      <c r="P34" s="49"/>
    </row>
    <row r="35" spans="2:16">
      <c r="B35" s="48"/>
      <c r="P35" s="49"/>
    </row>
    <row r="36" spans="2:16">
      <c r="B36" s="48"/>
      <c r="P36" s="49"/>
    </row>
    <row r="37" spans="2:16">
      <c r="B37" s="48"/>
      <c r="P37" s="49"/>
    </row>
    <row r="38" spans="2:16">
      <c r="B38" s="48"/>
      <c r="P38" s="49"/>
    </row>
    <row r="39" spans="2:16">
      <c r="B39" s="48"/>
      <c r="P39" s="49"/>
    </row>
    <row r="40" spans="2:16">
      <c r="B40" s="48"/>
      <c r="P40" s="49"/>
    </row>
    <row r="41" spans="2:16">
      <c r="B41" s="48"/>
      <c r="P41" s="49"/>
    </row>
    <row r="42" spans="2:16">
      <c r="B42" s="48"/>
      <c r="P42" s="49"/>
    </row>
    <row r="43" spans="2:16">
      <c r="B43" s="48"/>
      <c r="P43" s="49"/>
    </row>
    <row r="44" spans="2:16">
      <c r="B44" s="48"/>
      <c r="P44" s="49"/>
    </row>
    <row r="45" spans="2:16">
      <c r="B45" s="48"/>
      <c r="P45" s="49"/>
    </row>
    <row r="46" spans="2:16" ht="14.7" thickBot="1">
      <c r="B46" s="48"/>
      <c r="P46" s="49"/>
    </row>
    <row r="47" spans="2:16" ht="14.7" thickBot="1">
      <c r="B47" s="48"/>
      <c r="C47" s="61"/>
      <c r="D47" t="s">
        <v>57</v>
      </c>
      <c r="E47" s="62" t="s">
        <v>58</v>
      </c>
      <c r="F47" s="62"/>
      <c r="G47" s="62"/>
      <c r="I47" t="s">
        <v>59</v>
      </c>
      <c r="K47" t="s">
        <v>60</v>
      </c>
      <c r="P47" s="49"/>
    </row>
    <row r="48" spans="2:16" ht="14.7" thickBot="1">
      <c r="B48" s="63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5"/>
    </row>
  </sheetData>
  <mergeCells count="1">
    <mergeCell ref="C3:O3"/>
  </mergeCells>
  <conditionalFormatting sqref="I7">
    <cfRule type="cellIs" dxfId="2" priority="2" operator="lessThan">
      <formula>2</formula>
    </cfRule>
  </conditionalFormatting>
  <conditionalFormatting sqref="K7">
    <cfRule type="cellIs" dxfId="1" priority="1" operator="lessThan">
      <formula>0</formula>
    </cfRule>
    <cfRule type="cellIs" dxfId="0" priority="3" operator="lessThan">
      <formula>2</formula>
    </cfRule>
  </conditionalFormatting>
  <pageMargins left="0" right="0" top="0" bottom="0" header="0" footer="0"/>
  <pageSetup paperSize="9" scale="75" orientation="landscape" r:id="rId1"/>
  <headerFooter>
    <oddFooter>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Jan</vt:lpstr>
      <vt:lpstr>Fed</vt:lpstr>
      <vt:lpstr>Mar</vt:lpstr>
      <vt:lpstr>Apr</vt:lpstr>
      <vt:lpstr>May</vt:lpstr>
      <vt:lpstr>TOTAL (A)</vt:lpstr>
      <vt:lpstr>Dashboard(A)</vt:lpstr>
      <vt:lpstr>'Dashboard(A)'!Print_Area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 nakjoo</dc:creator>
  <cp:lastModifiedBy>Varaluk Matpootorn</cp:lastModifiedBy>
  <cp:lastPrinted>2025-03-28T03:08:53Z</cp:lastPrinted>
  <dcterms:created xsi:type="dcterms:W3CDTF">2018-01-15T02:17:21Z</dcterms:created>
  <dcterms:modified xsi:type="dcterms:W3CDTF">2026-06-24T02:57:25Z</dcterms:modified>
</cp:coreProperties>
</file>